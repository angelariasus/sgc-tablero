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men" sheetId="1" state="visible" r:id="rId3"/>
    <sheet name="Consolidado" sheetId="2" state="visible" r:id="rId4"/>
    <sheet name="Matrices" sheetId="3" state="visible" r:id="rId5"/>
    <sheet name="Indicadores" sheetId="4" state="visible" r:id="rId6"/>
    <sheet name="Observaciones" sheetId="5" state="visible" r:id="rId7"/>
    <sheet name="Fuentes y método" sheetId="6" state="visible" r:id="rId8"/>
  </sheets>
  <definedNames>
    <definedName function="false" hidden="true" localSheetId="1" name="_xlnm._FilterDatabase" vbProcedure="false">Consolidado!$A$4:$P$57</definedName>
    <definedName function="false" hidden="true" localSheetId="3" name="_xlnm._FilterDatabase" vbProcedure="false">Indicadores!$A$4:$I$33</definedName>
    <definedName function="false" hidden="true" localSheetId="2" name="_xlnm._FilterDatabase" vbProcedure="false">Matrices!$A$4:$F$32</definedName>
    <definedName function="false" hidden="true" localSheetId="4" name="_xlnm._FilterDatabase" vbProcedure="false">Observaciones!$A$3:$E$19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<sst xmlns="http://schemas.openxmlformats.org/spreadsheetml/2006/main" count="1109" uniqueCount="718">
  <si>
    <t xml:space="preserve">Resumen de la autoevaluación EPTM: dónde estamos y qué falta</t>
  </si>
  <si>
    <t xml:space="preserve">Los conteos se calculan desde la hoja Consolidado: si cambias una valoración o una evidencia, se actualizan.</t>
  </si>
  <si>
    <t xml:space="preserve">N.º</t>
  </si>
  <si>
    <t xml:space="preserve">Estándar</t>
  </si>
  <si>
    <t xml:space="preserve">Criterios</t>
  </si>
  <si>
    <t xml:space="preserve">LP</t>
  </si>
  <si>
    <t xml:space="preserve">L</t>
  </si>
  <si>
    <t xml:space="preserve">Por definir</t>
  </si>
  <si>
    <t xml:space="preserve">No desarrollado</t>
  </si>
  <si>
    <t xml:space="preserve">Prioridad alta</t>
  </si>
  <si>
    <t xml:space="preserve">Prioridad media</t>
  </si>
  <si>
    <t xml:space="preserve">Prioridad baja</t>
  </si>
  <si>
    <t xml:space="preserve">Evidencias citadas</t>
  </si>
  <si>
    <t xml:space="preserve">Con enlace</t>
  </si>
  <si>
    <t xml:space="preserve">Criterios sin documentos en el Anexo</t>
  </si>
  <si>
    <t xml:space="preserve">Gestión del programa de estudios</t>
  </si>
  <si>
    <t xml:space="preserve">Currículo</t>
  </si>
  <si>
    <t xml:space="preserve">Evaluación de la enseñanza, el aprendizaje y del logro del perfil de egreso</t>
  </si>
  <si>
    <t xml:space="preserve">Plana docente</t>
  </si>
  <si>
    <t xml:space="preserve">Recursos para la enseñanza aprendizaje</t>
  </si>
  <si>
    <t xml:space="preserve">Responsabilidad social universitaria</t>
  </si>
  <si>
    <t xml:space="preserve">Bienestar y servicios de apoyo al estudiante</t>
  </si>
  <si>
    <t xml:space="preserve">Gestión de la información</t>
  </si>
  <si>
    <t xml:space="preserve">Supervisión y revisión del programa de estudios</t>
  </si>
  <si>
    <t xml:space="preserve">Gestión de la calidad</t>
  </si>
  <si>
    <t xml:space="preserve">Total</t>
  </si>
  <si>
    <t xml:space="preserve">Lo que más pesa</t>
  </si>
  <si>
    <t xml:space="preserve">•</t>
  </si>
  <si>
    <t xml:space="preserve">Los estándares 9 y 10 no están desarrollados en el informe (7 criterios).</t>
  </si>
  <si>
    <t xml:space="preserve">Hay criterios con la valoración «Por definir», que no existe en la escala del modelo (NL, L, LP).</t>
  </si>
  <si>
    <t xml:space="preserve">Solo ID01 tiene el cálculo con variables; los otros indicadores no se pueden verificar y algunos se contradicen con las argumentaciones.</t>
  </si>
  <si>
    <t xml:space="preserve">Casi ninguna evidencia citada tiene enlace directo, que es lo que exige el formato.</t>
  </si>
  <si>
    <t xml:space="preserve">13 de las 28 matrices siguen pendientes.</t>
  </si>
  <si>
    <t xml:space="preserve">Detalle y acciones: hojas Consolidado (columna dorada), Indicadores, Matrices y Observaciones.</t>
  </si>
  <si>
    <t xml:space="preserve">Cómo se asigna la prioridad</t>
  </si>
  <si>
    <t xml:space="preserve">Alta: la valoración es «Por definir» o el criterio no está desarrollado en el informe.</t>
  </si>
  <si>
    <t xml:space="preserve">Media: la valoración es L o LP, pero falta citar alguna evidencia que exige el modelo o hay una matriz pendiente.</t>
  </si>
  <si>
    <t xml:space="preserve">Baja: la valoración es L o LP, cita todas las evidencias exigidas y no tiene matrices pendientes.</t>
  </si>
  <si>
    <t xml:space="preserve">Referenciales de indicadores y evidencias exigidas: Guía de informe de autoevaluación UNMSM (matrices M2 y M3) y Modelo CONEAU 2026.</t>
  </si>
  <si>
    <t xml:space="preserve">Consolidado de autoevaluación EPTM: criterios, evidencias y lo que falta</t>
  </si>
  <si>
    <t xml:space="preserve">Cruce de tres documentos: Informe final de autoevaluación EPTM 2026 (estándares 1 a 8), Reporte de evidencias (Anexo 2026-1) y Guía de informe de autoevaluación UNMSM; más el índice de 28 matrices. La columna dorada es la que se agregó: la evidencia que todavía falta por criterio.</t>
  </si>
  <si>
    <t xml:space="preserve">N.º estándar</t>
  </si>
  <si>
    <t xml:space="preserve">Criterio</t>
  </si>
  <si>
    <t xml:space="preserve">Resumen del criterio (guía)</t>
  </si>
  <si>
    <t xml:space="preserve">EV que exige el modelo / la guía</t>
  </si>
  <si>
    <t xml:space="preserve">Indicadores asociados (guía)</t>
  </si>
  <si>
    <t xml:space="preserve">Documentos ya registrados en el Reporte de evidencias (Anexo 2026-1)</t>
  </si>
  <si>
    <t xml:space="preserve">Matrices que lo respaldan (estado)</t>
  </si>
  <si>
    <t xml:space="preserve">Valoración en el informe</t>
  </si>
  <si>
    <t xml:space="preserve">Evidencias citadas en el informe (n)</t>
  </si>
  <si>
    <t xml:space="preserve">…con enlace (n)</t>
  </si>
  <si>
    <t xml:space="preserve">EV exigidas que el informe no cita</t>
  </si>
  <si>
    <t xml:space="preserve">Puntos débiles que declara el informe</t>
  </si>
  <si>
    <t xml:space="preserve">Evidencias por completar según la guía</t>
  </si>
  <si>
    <t xml:space="preserve">► EVIDENCIA QUE ME FALTA</t>
  </si>
  <si>
    <t xml:space="preserve">Prioridad</t>
  </si>
  <si>
    <t xml:space="preserve">1.1</t>
  </si>
  <si>
    <t xml:space="preserve">Estructura interna pertinente</t>
  </si>
  <si>
    <t xml:space="preserve">EV1</t>
  </si>
  <si>
    <t xml:space="preserve">—</t>
  </si>
  <si>
    <t xml:space="preserve">Estatuto UNMSM; ROF; MOF; Ley Universitaria 30220; Organigrama Institucional 2025</t>
  </si>
  <si>
    <t xml:space="preserve">Resoluciones de conformación de Dirección de Escuela, Comité de Gestión y Comité de Calidad (2023-2026); enlace directo al ROF/MOF de la Facultad.</t>
  </si>
  <si>
    <t xml:space="preserve">Resoluciones de conformación de la Dirección de Escuela, el Comité de Gestión y el Comité de Calidad (2023-2026) con enlace; organigrama vigente de la EPTM (el citado es de 2018 y el Anexo lista el Organigrama Institucional 2025); enlace directo al ROF/MOF de la Facultad.</t>
  </si>
  <si>
    <t xml:space="preserve">1.2</t>
  </si>
  <si>
    <t xml:space="preserve">Cuerpo directivo idóneo</t>
  </si>
  <si>
    <t xml:space="preserve">EV2</t>
  </si>
  <si>
    <t xml:space="preserve">Estatuto UNMSM; ROF; MOF; Ley Universitaria 30220</t>
  </si>
  <si>
    <t xml:space="preserve">M24 (Pendiente); M25 (Pendiente)</t>
  </si>
  <si>
    <t xml:space="preserve">faltan las resoluciones de designación y las hojas de vida</t>
  </si>
  <si>
    <t xml:space="preserve">Hojas de vida documentadas del cuerpo directivo (EV2); resoluciones de designación; cuadro requisito–cumplimiento por cargo.</t>
  </si>
  <si>
    <t xml:space="preserve">Resoluciones de designación y hojas de vida de los jefes de sección de las cuatro áreas; cuadro requisito–cumplimiento por cargo con enlace (la matriz E1.2-06 ya citada debe poder abrirse). Matrices pendientes: M24, M25.</t>
  </si>
  <si>
    <t xml:space="preserve">1.3</t>
  </si>
  <si>
    <t xml:space="preserve">Planes con objetivos académicos evaluados anualmente</t>
  </si>
  <si>
    <t xml:space="preserve">EV3, EV4, EV5, EV6</t>
  </si>
  <si>
    <t xml:space="preserve">Los que correspondan (p. ej., ID11, ID28)</t>
  </si>
  <si>
    <t xml:space="preserve">Modelo educativo; PEI UNMSM (2019-2023); PEI UNMSM (2023-2027); PEI UNMSM (2026-2030); POI UNMSM 2024; POI UNMSM 2025; POI UNMSM 2026; Guía de diseño de evaluación y actualización curricular 2021; Guía de diseño de evalu 	ación y actualización curricular 2026</t>
  </si>
  <si>
    <t xml:space="preserve">M1 (Atendida); M2 (Atendida); M3 (Atendida); M4 (Atendida); M6 (Atendida)</t>
  </si>
  <si>
    <t xml:space="preserve">El involucramiento cae en una sola persona, debe ser difundida a los docentes. Los docentes a tiempo parcial no se involucran.</t>
  </si>
  <si>
    <t xml:space="preserve">Documento de objetivos académicos del programa (EV3); evidencia de su publicación (EV4); informes de evaluación del POI 2024 y 2025 (EV6).</t>
  </si>
  <si>
    <t xml:space="preserve">Documento de objetivos académicos del programa (EV3); evidencia de su publicación (EV4); informes de evaluación del POI 2024 y 2025 (EV6); registro de difusión a los docentes, incluidos los de tiempo parcial.</t>
  </si>
  <si>
    <t xml:space="preserve">1.4</t>
  </si>
  <si>
    <t xml:space="preserve">Quejas, reclamos y denuncias</t>
  </si>
  <si>
    <t xml:space="preserve">EV7</t>
  </si>
  <si>
    <t xml:space="preserve">Reglamento de Defensoría Universitaria; Información complementaria en el marco de la supervisión de la Oficina de Defensoría Universitaria; Informe anual y/o semestral de reclamos; Resolución de designación del Defensor Universitario 2025</t>
  </si>
  <si>
    <t xml:space="preserve">M26 (Pendiente); M27 (Pendiente); M28 (Pendiente)</t>
  </si>
  <si>
    <t xml:space="preserve">Estadística de casos del programa por semestre, plazos y estado de atención; acciones derivadas de los casos recurrentes.</t>
  </si>
  <si>
    <t xml:space="preserve">Estadística de casos del programa por semestre (plazos, estado de atención, causas, por área); acciones derivadas de los casos recurrentes. Matrices pendientes: M26, M27, M28.</t>
  </si>
  <si>
    <t xml:space="preserve">1.5</t>
  </si>
  <si>
    <t xml:space="preserve">Satisfacción con servicios administrativos</t>
  </si>
  <si>
    <t xml:space="preserve">EV7 (según la guía); se recomienda EV41, EV42 y EV43</t>
  </si>
  <si>
    <t xml:space="preserve">ID8 (60 %), ID18 (75 %), ID21 (70 %)</t>
  </si>
  <si>
    <t xml:space="preserve">Sin documentos registrados</t>
  </si>
  <si>
    <t xml:space="preserve">EV7, EV41, EV42, EV43</t>
  </si>
  <si>
    <t xml:space="preserve">la medición se inicia en 2026-II, sin serie histórica, y el instrumento no desagrega resultados por área.</t>
  </si>
  <si>
    <t xml:space="preserve">Instrumentos, bases de datos e informes de satisfacción de cuatro semestres; acciones de mejora derivadas.</t>
  </si>
  <si>
    <t xml:space="preserve">Instrumentos, bases de datos e informes de satisfacción de los cuatro semestres (ID8, ID18, ID21), desagregados por área; la medición recién comienza en 2026-II, así que hay que aplicarla y registrarla; acciones de mejora derivadas.</t>
  </si>
  <si>
    <t xml:space="preserve">2.1</t>
  </si>
  <si>
    <t xml:space="preserve">Componentes mínimos del currículo</t>
  </si>
  <si>
    <t xml:space="preserve">EV8</t>
  </si>
  <si>
    <t xml:space="preserve">ID1 (60 %), ID12 (70 %)</t>
  </si>
  <si>
    <t xml:space="preserve">Guía de diseño de evaluación y actualización curricular 2026; Ley Universitaria 30220; Estatuto UNMSM; Modelo educativo</t>
  </si>
  <si>
    <t xml:space="preserve">M5 (Atendida); M12 (Atendida); M14 (Pendiente)</t>
  </si>
  <si>
    <t xml:space="preserve">tres planes omiten el marco deontológico, dos no documentan la consulta a grupos de interés y ninguno está adecuado al Modelo Educativo 2024 (RR N.° 015113-2024-R/UNMSM), aprobado nueve meses después (E2.1-06).</t>
  </si>
  <si>
    <t xml:space="preserve">Documento curricular vigente con su resolución; actas de consulta a partes interesadas; matrices de alineación y análisis PEST (sección 12).</t>
  </si>
  <si>
    <t xml:space="preserve">Documento curricular vigente de cada área con su resolución; actas de consulta a grupos de interés (faltan en dos planes); marco deontológico en los tres planes que lo omiten; adecuación al Modelo Educativo 2024 (RR 015113-2024-R); matrices de alineación. Matrices pendientes: M14.</t>
  </si>
  <si>
    <t xml:space="preserve">2.2</t>
  </si>
  <si>
    <t xml:space="preserve">Perfil de egreso</t>
  </si>
  <si>
    <t xml:space="preserve">M8 (Atendida); M10 (Atendida); M11 (Atendida); M15 (Atendida)</t>
  </si>
  <si>
    <t xml:space="preserve">las competencias genéricas no están estandarizadas: Laboratorio Clínico y Terapia Física reproducen el listado de la Facultad de 2018, sin alinearlo al Modelo Educativo; Terapia Ocupacional consigna dos listados distintos, y Radiología las enuncia sin definición ni criterios. Terapia Física y Terapia Ocupacional carecen de perfil integrado, y Radiología y Terapia Física no articulan competencias con asignaturas.</t>
  </si>
  <si>
    <t xml:space="preserve">Perfil de egreso aprobado; matriz de competencias y niveles de logro; matriz de coherencia perfil–propósitos.</t>
  </si>
  <si>
    <t xml:space="preserve">Perfil de egreso aprobado e integrado en Terapia Física y Terapia Ocupacional; listado único de competencias genéricas alineado al Modelo Educativo; matriz de competencias y niveles de logro; matriz de articulación competencias–asignaturas en Radiología y Terapia Física.</t>
  </si>
  <si>
    <t xml:space="preserve">2.3</t>
  </si>
  <si>
    <t xml:space="preserve">Plan de estudios completo</t>
  </si>
  <si>
    <t xml:space="preserve">M10 (Atendida); M11 (Atendida); M12 (Atendida); M16 (Atendida)</t>
  </si>
  <si>
    <t xml:space="preserve">los planes no registran horas ni créditos no lectivos ni totales por ciclo; el texto descriptivo de tres planes no coincide con su propio cuadro (Radiología declara 226 créditos y Laboratorio Clínico, 213; en Terapia Física las categorías suman 220), y Terapia Ocupacional reconoce que su investigación formativa carece de secuencia progresiva.</t>
  </si>
  <si>
    <t xml:space="preserve">Plan de estudios, malla y sumillas; matriz de articulación asignaturas–competencias.</t>
  </si>
  <si>
    <t xml:space="preserve">Plan de estudios con horas y créditos no lectivos y totales por ciclo; matriz de créditos y horas corregida (el texto no coincide con el cuadro en Radiología, Laboratorio Clínico y Terapia Física); secuencia progresiva de investigación formativa en Terapia Ocupacional.</t>
  </si>
  <si>
    <t xml:space="preserve">2.4</t>
  </si>
  <si>
    <t xml:space="preserve">EV9</t>
  </si>
  <si>
    <t xml:space="preserve">M13 (Pendiente)</t>
  </si>
  <si>
    <t xml:space="preserve">en el VIII ciclo de Radiología, Laboratorio Clínico y Terapia Física, y en el internado de Terapia Física y Terapia Ocupacional, solo quedan 0 a 4 horas para la carga no lectiva, por lo que la suma podría exceder el límite; además, la relación crédito-hora no es homogénea: el internado vale 44 créditos en Radiología y Laboratorio Clínico y 40 en Terapia Física y Terapia ocupacional, con las mismas 36 horas semanales de práctica.</t>
  </si>
  <si>
    <t xml:space="preserve">Sílabos; cuadro de carga semanal por ciclo.</t>
  </si>
  <si>
    <t xml:space="preserve">Sílabos con carga no lectiva consignada; cuadro de carga semanal por ciclo que pruebe el límite de 40 horas (VIII ciclo e internados); criterio único crédito–hora del internado (44 créditos en dos áreas y 40 en otras dos, con las mismas 36 horas). Matrices pendientes: M13.</t>
  </si>
  <si>
    <t xml:space="preserve">2.5</t>
  </si>
  <si>
    <t xml:space="preserve">Contenido de los sílabos</t>
  </si>
  <si>
    <t xml:space="preserve">M12 (Atendida); M17 (Pendiente); M18 (Pendiente)</t>
  </si>
  <si>
    <t xml:space="preserve">en Radiología y Terapia Física, las competencias de los sílabos no pueden contrastarse con el perfil porque sus planes no articulan competencias y asignaturas, y la verificación de sílabos por área no ha concluido.</t>
  </si>
  <si>
    <t xml:space="preserve">Sílabos de cuatro semestres; formato institucional; informe de revisión de sílabos.</t>
  </si>
  <si>
    <t xml:space="preserve">Sílabos de los cuatro semestres de las cuatro áreas; informe de revisión de sílabos por área (la verificación no ha concluido); formato de sílabo con productos de aprendizaje y carga no lectiva; articulación competencias–asignaturas en Radiología y Terapia Física. Matrices pendientes: M17, M18.</t>
  </si>
  <si>
    <t xml:space="preserve">2.6</t>
  </si>
  <si>
    <t xml:space="preserve">Normas de convalidación</t>
  </si>
  <si>
    <t xml:space="preserve">EV11</t>
  </si>
  <si>
    <t xml:space="preserve">Ley Universitaria 30220; Reglamento General de la UNMSM; Estatuto UNMSM; Reglamento y RR de convalidación 2021; Reglamento y RR de convalidación 2025; Flujograma del proceso de convalidación por curso</t>
  </si>
  <si>
    <t xml:space="preserve">no se dispone de un registro de las convalidaciones resueltas en el periodo por área ni de la resolución que designa la comisión de convalidación.</t>
  </si>
  <si>
    <t xml:space="preserve">Relación de convalidaciones aplicadas en el programa (casos y resoluciones).</t>
  </si>
  <si>
    <t xml:space="preserve">Registro semestral de convalidaciones resueltas por área y modalidad (casos y resoluciones); resolución que designa la comisión de convalidación.</t>
  </si>
  <si>
    <t xml:space="preserve">2.7</t>
  </si>
  <si>
    <t xml:space="preserve">Verificación del cumplimiento de sílabos</t>
  </si>
  <si>
    <t xml:space="preserve">EV10</t>
  </si>
  <si>
    <t xml:space="preserve">ID11 (90 %)</t>
  </si>
  <si>
    <t xml:space="preserve">el ID11 aún no se calcula como lo define el Modelo; ninguna área supera el 70 % de aulas virtuales completas, y no se documentan acciones correctivas ante los incumplimientos.</t>
  </si>
  <si>
    <t xml:space="preserve">Informes semestrales de cumplimiento de sílabos (EV10); plan de recuperación de sesiones.</t>
  </si>
  <si>
    <t xml:space="preserve">Informes semestrales de cumplimiento de sílabos por área con el ID11 calculado como lo define el Modelo (EV10); causas de incumplimiento y acciones correctivas; plan de recuperación de sesiones.</t>
  </si>
  <si>
    <t xml:space="preserve">3.1</t>
  </si>
  <si>
    <t xml:space="preserve">Evaluación de la calidad de la enseñanza</t>
  </si>
  <si>
    <t xml:space="preserve">EV12</t>
  </si>
  <si>
    <t xml:space="preserve">ID1, ID3, ID4, ID10, ID19, ID22</t>
  </si>
  <si>
    <t xml:space="preserve">Laboratorio Clínico no alcanza el referencial del ID19 en tres semestres y Terapia Física cae a 50 % en 2026-I; la participación estudiantil bordea el mínimo del 30 % en 2025-II y 2026-I, y no se documenta el uso de los resultados por área.</t>
  </si>
  <si>
    <t xml:space="preserve">Normas e instrumentos; informes de aplicación y resultados; sugerencias de mejora (EV12).</t>
  </si>
  <si>
    <t xml:space="preserve">Informes de aplicación y resultados de la evaluación de la enseñanza por área; actas del uso de resultados (ID19 de Laboratorio Clínico y Terapia Física); informe de participación estudiantil.</t>
  </si>
  <si>
    <t xml:space="preserve">3.2</t>
  </si>
  <si>
    <t xml:space="preserve">Evaluación coherente con el enfoque pedagógico</t>
  </si>
  <si>
    <t xml:space="preserve">EV13</t>
  </si>
  <si>
    <t xml:space="preserve">ID4 (60 %)</t>
  </si>
  <si>
    <t xml:space="preserve">Reglamento General de evaluación del Aprendizaje de Estudiantes de Pregrado</t>
  </si>
  <si>
    <t xml:space="preserve">Radiología y Terapia Física no vinculan sus competencias con asignaturas, lo que limita la coherencia entre instrumento y perfil; no se cuenta con orientaciones para atender las diversas necesidades de aprendizaje.</t>
  </si>
  <si>
    <t xml:space="preserve">Sílabos con sistema de evaluación; rúbricas; informe de coherencia evaluación–enfoque.</t>
  </si>
  <si>
    <t xml:space="preserve">Sílabos con sistema de evaluación; rúbricas por área; informe de coherencia evaluación–enfoque; guía de evaluación por competencias; orientaciones para diversas necesidades de aprendizaje.</t>
  </si>
  <si>
    <t xml:space="preserve">3.3</t>
  </si>
  <si>
    <t xml:space="preserve">Evidencias del logro del perfil</t>
  </si>
  <si>
    <t xml:space="preserve">EV13, EV17</t>
  </si>
  <si>
    <t xml:space="preserve">ID4, ID20 (70 %)</t>
  </si>
  <si>
    <t xml:space="preserve">M19 (Pendiente)</t>
  </si>
  <si>
    <t xml:space="preserve">no existe un informe periódico del logro del perfil por área; el registro del ID10 está incompleto en 2024-II y no incluye 2026-I, y Terapia Física concentra la mayor proporción de estudiantes observados.</t>
  </si>
  <si>
    <t xml:space="preserve">Informe de evolución del desempeño estudiantil (EV17: ID10, ID28); informe de logro de competencias.</t>
  </si>
  <si>
    <t xml:space="preserve">Informe semestral de logro del perfil por área (ID10, observados, internado); ID10 completo en 2024-II y calculado en 2026-I; informe de evolución del desempeño estudiantil (EV17). Matrices pendientes: M19.</t>
  </si>
  <si>
    <t xml:space="preserve">3.4</t>
  </si>
  <si>
    <t xml:space="preserve">Información oportuna al estudiante</t>
  </si>
  <si>
    <t xml:space="preserve">ID4</t>
  </si>
  <si>
    <t xml:space="preserve">RR que aprueba fórmula de evaluación</t>
  </si>
  <si>
    <t xml:space="preserve">menos de la mitad de las asignaturas publica el sílabo en el aula virtual, y no se fija un plazo para la entrega de calificaciones de cada evaluación.</t>
  </si>
  <si>
    <t xml:space="preserve">Registros del SUM de publicación de notas; constancia de entrega de sílabos.</t>
  </si>
  <si>
    <t xml:space="preserve">Registros del SUM de publicación de notas; constancia de entrega y publicación de sílabos en el aula virtual; norma con plazo máximo para informar cada calificación.</t>
  </si>
  <si>
    <t xml:space="preserve">3.5</t>
  </si>
  <si>
    <t xml:space="preserve">Tutoría y asesoría</t>
  </si>
  <si>
    <t xml:space="preserve">EV14, EV15, EV18</t>
  </si>
  <si>
    <t xml:space="preserve">ID5, ID9, ID24 (70 %)</t>
  </si>
  <si>
    <t xml:space="preserve">Reglamente General de Tutoría</t>
  </si>
  <si>
    <t xml:space="preserve">EV15</t>
  </si>
  <si>
    <t xml:space="preserve">no se registran los resultados de las tutorías (aprobación posterior del estudiante) ni sesiones de la tutoría preventiva; Terapia Física mantiene 35–39 % de observados, e Inmunología concentra casos de repitencia.</t>
  </si>
  <si>
    <t xml:space="preserve">Plan e informes de tutoría de dos semestres (EV14, EV18); prácticas preprofesionales (EV15).</t>
  </si>
  <si>
    <t xml:space="preserve">Plan e informes de tutoría de dos semestres (EV14, EV18); resultados de las tutorías (aprobación posterior) y sesiones de tutoría preventiva; normas de prácticas preprofesionales (EV15); plan de refuerzo en las asignaturas con repitencia.</t>
  </si>
  <si>
    <t xml:space="preserve">3.6</t>
  </si>
  <si>
    <t xml:space="preserve">Originalidad y rigor de tesis</t>
  </si>
  <si>
    <t xml:space="preserve">EV16, EV19</t>
  </si>
  <si>
    <t xml:space="preserve">Relación de proyectos, artículos y tesis; Líneas de investigación; Proyectos de investigación con y sin financiamiento; Directiva de originalidad; Repositorio institucional; Capacitación en ética en la investigación</t>
  </si>
  <si>
    <t xml:space="preserve">EV16</t>
  </si>
  <si>
    <t xml:space="preserve">en 7 de 23 tesis el certificado es posterior a la sustentación; 11 proyectos se inscribieron por regularización poco antes de sustentar, y dos certificados citan un dictamen de fecha posterior; seis actas omiten la mención.</t>
  </si>
  <si>
    <t xml:space="preserve">Relación de tesis y TSP de los dos últimos años en el repositorio (EV19); reportes de similitud.</t>
  </si>
  <si>
    <t xml:space="preserve">Relación de tesis y trabajos de suficiencia de los dos últimos años en el repositorio (EV19); reportes de similitud; certificados y dictámenes de ética anteriores a la sustentación (7 de 23 tesis tienen certificado posterior); actas con la mención completa.</t>
  </si>
  <si>
    <t xml:space="preserve">3.7</t>
  </si>
  <si>
    <t xml:space="preserve">Autoría del propio estudiante</t>
  </si>
  <si>
    <t xml:space="preserve">Modelo educativo; Reglamento General de evaluación del Aprendizaje de Estudiantes de Pregrado; Reglamento General de Tutoría; Reglamento de Admisión 2026-II; Reglamento de Admisión 2027-I; Proyectos de investigación con y sin financiamiento</t>
  </si>
  <si>
    <t xml:space="preserve">no se evidencia el uso de la PIDS en las asignaturas de investigación, obligatorio desde 2024, ni un registro de incidencias por área.</t>
  </si>
  <si>
    <t xml:space="preserve">Informe de incidencias de dos semestres y acciones adoptadas (EV16). Revisar la pertinencia de los reglamentos de admisión.</t>
  </si>
  <si>
    <t xml:space="preserve">Informe de incidencias de dos semestres y acciones adoptadas (EV16); evidencia del uso de la plataforma PIDS en las asignaturas de investigación; confirmar que los reglamentos de admisión citados sean pertinentes.</t>
  </si>
  <si>
    <t xml:space="preserve">4.1</t>
  </si>
  <si>
    <t xml:space="preserve">Selección y vinculación transparente</t>
  </si>
  <si>
    <t xml:space="preserve">EV20, EV22, EV24</t>
  </si>
  <si>
    <t xml:space="preserve">ID4, ID14 (20 %), ID19 (75 %)</t>
  </si>
  <si>
    <t xml:space="preserve">Ley Universitaria 30220; Estatuto UNMSM; Reglamento de Proceso de admisión a la Carrera Docente; Reglamento de Evaluación para la Ratificación Docente; Reglamento General para la Actividad Académica Docente; Reglamento de Promoción docente</t>
  </si>
  <si>
    <t xml:space="preserve">M20 (Atendida)</t>
  </si>
  <si>
    <t xml:space="preserve">EV22, EV24</t>
  </si>
  <si>
    <t xml:space="preserve">no se presenta la relación de concursos y contrataciones del periodo ni los perfiles por área que la Escuela solicitó para cada plaza.</t>
  </si>
  <si>
    <t xml:space="preserve">Convocatorias y resultados; CV documentados (EV22); informe de pertinencia docente (EV24).</t>
  </si>
  <si>
    <t xml:space="preserve">Relación de concursos y contrataciones del periodo (convocatorias y resultados); perfiles por área solicitados para cada plaza; CV documentados (EV22); informe de pertinencia docente (EV24).</t>
  </si>
  <si>
    <t xml:space="preserve">4.2</t>
  </si>
  <si>
    <t xml:space="preserve">Competencias pedagógicas, disciplinares y digitales</t>
  </si>
  <si>
    <t xml:space="preserve">EV21, EV24, EV25</t>
  </si>
  <si>
    <t xml:space="preserve">ID2 (70 %), ID19</t>
  </si>
  <si>
    <t xml:space="preserve">Reglamento de Capacitación Docente; Reglamento de Evaluación del desempeño docente</t>
  </si>
  <si>
    <t xml:space="preserve">EV21, EV24</t>
  </si>
  <si>
    <t xml:space="preserve">el ID19 no alcanzó el referencial en 2025-II, la participación estudiantil bordea el 30 % y no hay una evaluación propia de las competencias digitales del docente.</t>
  </si>
  <si>
    <t xml:space="preserve">Informe de desempeño de dos años (EV25); certificaciones pedagógicas y digitales.</t>
  </si>
  <si>
    <t xml:space="preserve">Informe de desempeño docente de dos años (EV25); certificaciones pedagógicas y digitales; evaluación propia de competencias digitales del docente; observación de clases por pares.</t>
  </si>
  <si>
    <t xml:space="preserve">4.3</t>
  </si>
  <si>
    <t xml:space="preserve">Carga lectiva según perfil docente</t>
  </si>
  <si>
    <t xml:space="preserve">EV23, EV24</t>
  </si>
  <si>
    <t xml:space="preserve">ID2, ID13 (25 %), ID14</t>
  </si>
  <si>
    <t xml:space="preserve">Reglamento General para la Actividad Académica Docente; Carga no lectiva; Estatuto UNMSM; Reglamento de Evaluación del desempeño docente por estudiantes</t>
  </si>
  <si>
    <t xml:space="preserve">EV23</t>
  </si>
  <si>
    <t xml:space="preserve">entre 14 y 18 docentes con carga por semestre no figuran en el Formato C9, y en algunos ordinarios el mayor grado registrado es el de bachiller.</t>
  </si>
  <si>
    <t xml:space="preserve">Formato C9 o similar (EV23); informe de pertinencia docente–asignatura (EV24).</t>
  </si>
  <si>
    <t xml:space="preserve">Formato C9 actualizado con todos los docentes programados (faltan entre 14 y 18 por semestre) (EV23); informe de pertinencia formación–asignatura (EV24); aclarar los ordinarios cuyo mayor grado figura como bachiller.</t>
  </si>
  <si>
    <t xml:space="preserve">4.4</t>
  </si>
  <si>
    <t xml:space="preserve">Evaluación periódica del desempeño</t>
  </si>
  <si>
    <t xml:space="preserve">EV21, EV25</t>
  </si>
  <si>
    <t xml:space="preserve">ID2, ID15 (50 %), ID16 (70 %), ID19</t>
  </si>
  <si>
    <t xml:space="preserve">M21 (Pendiente)</t>
  </si>
  <si>
    <t xml:space="preserve">EV21</t>
  </si>
  <si>
    <t xml:space="preserve">no existe autoevaluación docente, y no se presentan los informes anuales de evaluación del Departamento Académico del periodo.</t>
  </si>
  <si>
    <t xml:space="preserve">Instrumentos (EV21); informes y constancias de comunicación de resultados (EV25).</t>
  </si>
  <si>
    <t xml:space="preserve">Instrumentos de evaluación docente (EV21), incluida la autoevaluación docente; informes anuales de evaluación del Departamento Académico; constancias de comunicación de resultados (EV25). Matrices pendientes: M21.</t>
  </si>
  <si>
    <t xml:space="preserve">4.5</t>
  </si>
  <si>
    <t xml:space="preserve">Fortalecimiento de capacidades</t>
  </si>
  <si>
    <t xml:space="preserve">EV26, EV27</t>
  </si>
  <si>
    <t xml:space="preserve">ID15, ID16</t>
  </si>
  <si>
    <t xml:space="preserve">Reglamento de Capacitación de docentes</t>
  </si>
  <si>
    <t xml:space="preserve">no se presentan el plan y el informe de 2024 ni el diagnóstico del Departamento, y no se mide el efecto de la capacitación en el desempeño.</t>
  </si>
  <si>
    <t xml:space="preserve">Plan de capacitación (EV26); informe de resultados de dos años (EV27).</t>
  </si>
  <si>
    <t xml:space="preserve">Plan e informe de capacitación 2024 y diagnóstico del Departamento (EV26); informe de resultados de dos años (EV27); medición del efecto de la capacitación en el desempeño.</t>
  </si>
  <si>
    <t xml:space="preserve">4.6</t>
  </si>
  <si>
    <t xml:space="preserve">Experiencias en otras instituciones</t>
  </si>
  <si>
    <t xml:space="preserve">EV28, EV29</t>
  </si>
  <si>
    <t xml:space="preserve">ID14</t>
  </si>
  <si>
    <t xml:space="preserve">Reglamento de promoción docente</t>
  </si>
  <si>
    <t xml:space="preserve">la Escuela no registra las experiencias académicas y colaborativas de sus docentes ni tiene una política propia para promoverlas.</t>
  </si>
  <si>
    <t xml:space="preserve">Producción científica (EV28); convenios y experiencias colaborativas (EV29).</t>
  </si>
  <si>
    <t xml:space="preserve">Producción científica de los docentes (EV28); convenios y experiencias colaborativas (EV29); registro semestral de movilidad, estancias y proyectos por área.</t>
  </si>
  <si>
    <t xml:space="preserve">5.1</t>
  </si>
  <si>
    <t xml:space="preserve">Infraestructura suficiente y adecuada</t>
  </si>
  <si>
    <t xml:space="preserve">EV30</t>
  </si>
  <si>
    <t xml:space="preserve">ID3 (70 %), ID17 (70 %)</t>
  </si>
  <si>
    <t xml:space="preserve">Estatuto UNMSM; Resolución de Licenciamientos UNMSM; MOF Red Telemática</t>
  </si>
  <si>
    <t xml:space="preserve">la programación horaria asigna aforos menores al diseño en los gabinetes de Terapia Física (8 a 10 sillas) y los códigos TM-S04 y TM-S05 difieren entre el listado y el programa arquitectónico.</t>
  </si>
  <si>
    <t xml:space="preserve">Informe de infraestructura y su coherencia curricular (EV30); ratios ambiente–estudiante.</t>
  </si>
  <si>
    <t xml:space="preserve">Informe de infraestructura y su coherencia curricular (EV30); ratios ambiente–estudiante; unificar códigos (TM-S04, TM-S05) y aforos de los gabinetes de Terapia Física; completar el Formato 6.1.</t>
  </si>
  <si>
    <t xml:space="preserve">5.2</t>
  </si>
  <si>
    <t xml:space="preserve">Equipamiento y mobiliario</t>
  </si>
  <si>
    <t xml:space="preserve">ID3, ID17</t>
  </si>
  <si>
    <t xml:space="preserve">el Formato 7 no registra el estado de los equipos ni el Formato 6 su vínculo con las asignaturas; las salas de adultos y de actividades de la vida diaria de Terapia Ocupacional no registran equipos.</t>
  </si>
  <si>
    <t xml:space="preserve">Inventario y fichas técnicas; informe de suficiencia.</t>
  </si>
  <si>
    <t xml:space="preserve">Inventario y fichas técnicas con estado de los equipos (Formato 7) y vínculo con asignaturas (Formato 6); equipos de las salas de adultos y de actividades de la vida diaria de Terapia Ocupacional; informe de suficiencia.</t>
  </si>
  <si>
    <t xml:space="preserve">5.3</t>
  </si>
  <si>
    <t xml:space="preserve">Tecnologías de información</t>
  </si>
  <si>
    <t xml:space="preserve">MOF Red Telemática</t>
  </si>
  <si>
    <t xml:space="preserve">el aula virtual completa no alcanza a la mitad de las asignaturas en Radiología, y no se documentan los equipos de cómputo, la conectividad ni el software disponible en el nuevo local.</t>
  </si>
  <si>
    <t xml:space="preserve">Informe TIC; estadísticas de uso de la plataforma.</t>
  </si>
  <si>
    <t xml:space="preserve">Informe TIC del nuevo local (equipos de cómputo, conectividad, software); estadísticas de uso de la plataforma; meta y avance de aula virtual completa por área (Radiología no llega a la mitad).</t>
  </si>
  <si>
    <t xml:space="preserve">5.4</t>
  </si>
  <si>
    <t xml:space="preserve">Protocolos y manuales</t>
  </si>
  <si>
    <t xml:space="preserve">EV31</t>
  </si>
  <si>
    <t xml:space="preserve">no se presentan los protocolos y guías de uso de los laboratorios de cada área en el nuevo local ni su difusión a docentes y estudiantes.</t>
  </si>
  <si>
    <t xml:space="preserve">Protocolos, guías y manuales (EV31); constancias de difusión.</t>
  </si>
  <si>
    <t xml:space="preserve">Protocolos, guías y manuales de uso de los laboratorios de cada área en el nuevo local (EV31), aprobados por resolución; constancias de difusión a docentes y estudiantes.</t>
  </si>
  <si>
    <t xml:space="preserve">5.5</t>
  </si>
  <si>
    <t xml:space="preserve">Recursos académicos y bases de datos</t>
  </si>
  <si>
    <t xml:space="preserve">EV32</t>
  </si>
  <si>
    <t xml:space="preserve">no hay estadísticas de uso ni resultados de la encuesta por escuela, ni contraste de la bibliografía de los sílabos con el catálogo; faltan bases especializadas en rehabilitación y en diagnóstico clínico.</t>
  </si>
  <si>
    <t xml:space="preserve">Suscripciones, catálogos y estadísticas de uso (EV32).</t>
  </si>
  <si>
    <t xml:space="preserve">Suscripciones, catálogos y estadísticas de uso de la biblioteca (EV32); resultados de la encuesta por escuela; contraste de la bibliografía de los sílabos con el catálogo; bases especializadas en rehabilitación y diagnóstico clínico.</t>
  </si>
  <si>
    <t xml:space="preserve">5.6</t>
  </si>
  <si>
    <t xml:space="preserve">Plan de mantenimiento</t>
  </si>
  <si>
    <t xml:space="preserve">EV33</t>
  </si>
  <si>
    <t xml:space="preserve">Estatuto UNMSM; PEI UNMSM (2026-2030)</t>
  </si>
  <si>
    <t xml:space="preserve">los planes son de toda la Facultad y no detallan el mantenimiento de los equipos especializados de cada área ni su calibración.</t>
  </si>
  <si>
    <t xml:space="preserve">Plan de mantenimiento e informes de cumplimiento (EV33).</t>
  </si>
  <si>
    <t xml:space="preserve">Plan de mantenimiento e informes de cumplimiento (EV33) con detalle por área; relación anual de equipos especializados que requieren mantenimiento preventivo y calibración.</t>
  </si>
  <si>
    <t xml:space="preserve">6.1</t>
  </si>
  <si>
    <t xml:space="preserve">Currículo con impacto positivo</t>
  </si>
  <si>
    <t xml:space="preserve">EV34, EV35</t>
  </si>
  <si>
    <t xml:space="preserve">ID20, ID26, ID27, ID28, ID29</t>
  </si>
  <si>
    <t xml:space="preserve">Ley Universitaria 30220; Estatuto UNMSM; Modelo educativo; PEI UNMSM (2026-2030); Modelo de Responsabilidad Social Universitaria</t>
  </si>
  <si>
    <t xml:space="preserve">M5 (Atendida); M7 (Atendida); M12 (Atendida)</t>
  </si>
  <si>
    <t xml:space="preserve">el grupo de interés no se ha reunido en el periodo evaluado; su composición data de 2017 y Radiología no documenta consulta propia.</t>
  </si>
  <si>
    <t xml:space="preserve">Informe de impacto (EV34); consulta a empleadores (EV35).</t>
  </si>
  <si>
    <t xml:space="preserve">Resolución que renueva el grupo de interés (su composición data de 2017) y actas de reunión por área; informe de impacto (EV34); consulta a empleadores (EV35); consulta propia de Radiología.</t>
  </si>
  <si>
    <t xml:space="preserve">6.2</t>
  </si>
  <si>
    <t xml:space="preserve">Impacto en egresados (cinco años)</t>
  </si>
  <si>
    <t xml:space="preserve">EV34</t>
  </si>
  <si>
    <t xml:space="preserve">ID20, ID22, ID26, ID27, ID28, ID29</t>
  </si>
  <si>
    <t xml:space="preserve">Estatuto UNMSM; Modelo educativo</t>
  </si>
  <si>
    <t xml:space="preserve">M7 (Atendida)</t>
  </si>
  <si>
    <t xml:space="preserve">no hay mediciones de ID20, ID22, ID26, ID27 ni ID28 en el periodo.</t>
  </si>
  <si>
    <t xml:space="preserve">Estudio de egresados de las cohortes de los últimos cinco años.</t>
  </si>
  <si>
    <t xml:space="preserve">Estudio de egresados de las cohortes de los últimos cinco años; mediciones de ID20, ID22, ID26, ID27 e ID28 con sus variables (EV34); encuesta a egresados en 2026-II; registro de egresados consolidado con el SUM.</t>
  </si>
  <si>
    <t xml:space="preserve">6.3</t>
  </si>
  <si>
    <t xml:space="preserve">Consulta a empleadores</t>
  </si>
  <si>
    <t xml:space="preserve">EV35</t>
  </si>
  <si>
    <t xml:space="preserve">ID26, ID27, ID28, ID29</t>
  </si>
  <si>
    <t xml:space="preserve">Modelo educativo</t>
  </si>
  <si>
    <t xml:space="preserve">no hay resultados de ID29 ni consultas a empleadores desde 2018.</t>
  </si>
  <si>
    <t xml:space="preserve">Instrumento, muestra y resultados de la consulta a empleadores.</t>
  </si>
  <si>
    <t xml:space="preserve">Instrumento, muestra y resultados de la consulta a empleadores por área (EV35), con el ID29 sustentado; fichas de consulta (la última consulta data de 2018).</t>
  </si>
  <si>
    <t xml:space="preserve">6.4</t>
  </si>
  <si>
    <t xml:space="preserve">Planes de mejora</t>
  </si>
  <si>
    <t xml:space="preserve">EV36</t>
  </si>
  <si>
    <t xml:space="preserve">no hay planes de mejora basados en resultados de egresados y empleadores de los últimos dos años, como exige la evidencia EV36.</t>
  </si>
  <si>
    <t xml:space="preserve">Planes de mejora y evidencias de ejecución de dos años (EV36).</t>
  </si>
  <si>
    <t xml:space="preserve">Planes de mejora basados en resultados de egresados y empleadores de los últimos dos años, con evidencia de su ejecución (EV36).</t>
  </si>
  <si>
    <t xml:space="preserve">6.5</t>
  </si>
  <si>
    <t xml:space="preserve">Procedimientos en el SGC</t>
  </si>
  <si>
    <t xml:space="preserve">Política de calidad</t>
  </si>
  <si>
    <t xml:space="preserve">el programa no ha generado reportes propios desde esos sistemas.</t>
  </si>
  <si>
    <t xml:space="preserve">Mapa de procesos y procedimiento de seguimiento de egresados.</t>
  </si>
  <si>
    <t xml:space="preserve">Mapa de procesos y procedimiento de seguimiento de egresados; reporte anual propio por área desde el Sistema de Seguimiento del Egresado (acceso a gestionar con la OCCAA).</t>
  </si>
  <si>
    <t xml:space="preserve">7.1</t>
  </si>
  <si>
    <t xml:space="preserve">Programas de bienestar</t>
  </si>
  <si>
    <t xml:space="preserve">EV37</t>
  </si>
  <si>
    <t xml:space="preserve">Ley Universitaria 30220; Estatuto UNMSM; MOF/ROF de OGBU</t>
  </si>
  <si>
    <t xml:space="preserve">la información publicada de la Unidad de Bienestar data de 2021 y no hay registros de uso por los estudiantes de la Escuela.</t>
  </si>
  <si>
    <t xml:space="preserve">Informe de servicios y de satisfacción (EV37).</t>
  </si>
  <si>
    <t xml:space="preserve">Informe de servicios y de satisfacción de bienestar (EV37) actualizado (lo publicado data de 2021); reporte de atenciones y beneficiarios de la Escuela por servicio y semestre.</t>
  </si>
  <si>
    <t xml:space="preserve">7.2</t>
  </si>
  <si>
    <t xml:space="preserve">Servicios de apoyo al estudiante</t>
  </si>
  <si>
    <t xml:space="preserve">EV38</t>
  </si>
  <si>
    <t xml:space="preserve">ID24</t>
  </si>
  <si>
    <t xml:space="preserve">Reglamento General de Tutoría; Estatuto UNMSM; Modelo educativo</t>
  </si>
  <si>
    <t xml:space="preserve">no se documenta la nivelación de ingresantes ni la continuidad de la evaluación psicopedagógica, y no se mide el impacto de los servicios en el desempeño.</t>
  </si>
  <si>
    <t xml:space="preserve">Informe de resultados e impacto de los servicios (EV38).</t>
  </si>
  <si>
    <t xml:space="preserve">Informe de resultados e impacto de los servicios de apoyo (EV38); registro de nivelación de ingresantes y de evaluación psicopedagógica; aprobación posterior de los tutorados.</t>
  </si>
  <si>
    <t xml:space="preserve">7.3</t>
  </si>
  <si>
    <t xml:space="preserve">Personal idóneo y disponibilidad</t>
  </si>
  <si>
    <t xml:space="preserve">EV37, EV38</t>
  </si>
  <si>
    <t xml:space="preserve">Estatuto UNMSM; Reglamento General de Tutoría; MOF/ROF de OGBU</t>
  </si>
  <si>
    <t xml:space="preserve">no se acredita el perfil ni la dedicación del personal de bienestar, y la atención de tópico y psicología de la Facultad está en una sede distinta de la del programa.</t>
  </si>
  <si>
    <t xml:space="preserve">Relación de personal y perfiles; horarios de atención.</t>
  </si>
  <si>
    <t xml:space="preserve">Relación del personal de bienestar con perfiles y dedicación; horarios de atención (incluida la atención en el edificio de Tecnología Médica).</t>
  </si>
  <si>
    <t xml:space="preserve">7.4</t>
  </si>
  <si>
    <t xml:space="preserve">Evaluación periódica y mejora</t>
  </si>
  <si>
    <t xml:space="preserve">EV39</t>
  </si>
  <si>
    <t xml:space="preserve">ID7, ID9, ID23, ID24 (70 %)</t>
  </si>
  <si>
    <t xml:space="preserve">Reglamento General de Tutoría; Política de Calidad</t>
  </si>
  <si>
    <t xml:space="preserve">no hay resultados de satisfacción con el bienestar en el periodo ni evidencia del ciclo evaluación–mejora.</t>
  </si>
  <si>
    <t xml:space="preserve">Informes de evaluación y planes de mejora implementados (EV39).</t>
  </si>
  <si>
    <t xml:space="preserve">Informes de evaluación de la satisfacción con bienestar y apoyo (ID7, ID9, ID23, ID24) y planes de mejora implementados (EV39).</t>
  </si>
  <si>
    <t xml:space="preserve">8.1</t>
  </si>
  <si>
    <t xml:space="preserve">Mecanismos de gestión de la información</t>
  </si>
  <si>
    <t xml:space="preserve">EV40</t>
  </si>
  <si>
    <t xml:space="preserve">Política de Calidad; Estatuto UNMSM; SUM; QUIPUCAMAYOC</t>
  </si>
  <si>
    <t xml:space="preserve">no existe un procedimiento propio del programa, aprobado por resolución, que fije responsables, cronograma y criterios de análisis.</t>
  </si>
  <si>
    <t xml:space="preserve">Procedimiento o directiva de recojo y análisis; fichas técnicas de indicadores.</t>
  </si>
  <si>
    <t xml:space="preserve">Procedimiento o directiva propia de recojo y análisis de información, aprobada por resolución, con responsables, cronograma y criterios de análisis; fichas técnicas de indicadores.</t>
  </si>
  <si>
    <t xml:space="preserve">8.2</t>
  </si>
  <si>
    <t xml:space="preserve">Información de partes interesadas</t>
  </si>
  <si>
    <t xml:space="preserve">EV41, EV42, EV43, EV44</t>
  </si>
  <si>
    <t xml:space="preserve">Transversal (ID1–ID29)</t>
  </si>
  <si>
    <t xml:space="preserve">Política de Calidad</t>
  </si>
  <si>
    <t xml:space="preserve">M22 (Pendiente); M28 (Pendiente)</t>
  </si>
  <si>
    <t xml:space="preserve">no hay mediciones de satisfacción en el periodo, por lo que no puede demostrarse su periodicidad.</t>
  </si>
  <si>
    <t xml:space="preserve">Resultados de encuestas a los cuatro grupos de interés.</t>
  </si>
  <si>
    <t xml:space="preserve">Resultados de encuestas a estudiantes, docentes, egresados y empleadores (EV41 a EV44) de los periodos evaluados, con cobertura mínima del 70 % de matriculados y frecuencia definida. Matrices pendientes: M22, M28.</t>
  </si>
  <si>
    <t xml:space="preserve">8.3</t>
  </si>
  <si>
    <t xml:space="preserve">Información de desempeño docente</t>
  </si>
  <si>
    <t xml:space="preserve">EV42 (según la guía); se recomienda también EV25</t>
  </si>
  <si>
    <t xml:space="preserve">ID2, ID19</t>
  </si>
  <si>
    <t xml:space="preserve">Reglamento de Evaluación del desempeño docente; Reglamento General para la Actividad Académica Docente; Estatuto UNMSM; Política de Calidad; Modelo educativo</t>
  </si>
  <si>
    <t xml:space="preserve">EV25, EV42</t>
  </si>
  <si>
    <t xml:space="preserve">el análisis no se formaliza en actas ni se vincula con planes de capacitación por área.</t>
  </si>
  <si>
    <t xml:space="preserve">Reportes semestrales de desempeño docente.</t>
  </si>
  <si>
    <t xml:space="preserve">Reportes semestrales de desempeño docente (ID19 por área) y actas de su análisis; vínculo con planes de capacitación por área.</t>
  </si>
  <si>
    <t xml:space="preserve">8.4</t>
  </si>
  <si>
    <t xml:space="preserve">Información de evaluación del aprendizaje</t>
  </si>
  <si>
    <t xml:space="preserve">EV41; se recomienda también EV17</t>
  </si>
  <si>
    <t xml:space="preserve">ID4, ID10 (80 %)</t>
  </si>
  <si>
    <t xml:space="preserve">Reglamento General de Evaluación de Aprendizaje; Modelo educativo; Política de Calidad</t>
  </si>
  <si>
    <t xml:space="preserve">EV17, EV41</t>
  </si>
  <si>
    <t xml:space="preserve">el ID10 de 2026-I no está calculado y el de 2024-II está incompleto.</t>
  </si>
  <si>
    <t xml:space="preserve">Reportes de aprobación por asignatura.</t>
  </si>
  <si>
    <t xml:space="preserve">Reportes de aprobación por asignatura: ID10 completo en 2024-II y calculado en 2026-I; actas de análisis.</t>
  </si>
  <si>
    <t xml:space="preserve">8.5</t>
  </si>
  <si>
    <t xml:space="preserve">Información de graduación y titulación</t>
  </si>
  <si>
    <t xml:space="preserve">EV43; se recomienda también EV17</t>
  </si>
  <si>
    <t xml:space="preserve">ID25 (2 años), ID28 (60 %), ID29</t>
  </si>
  <si>
    <t xml:space="preserve">Reglamento de Grados y Títulos; Estatuto UNMSM; Ley Universitaria 30220; Política de Calidad</t>
  </si>
  <si>
    <t xml:space="preserve">EV17, EV43</t>
  </si>
  <si>
    <t xml:space="preserve">ID25 e ID28 no se han calculado en el periodo.</t>
  </si>
  <si>
    <t xml:space="preserve">Base de datos de graduados y titulados.</t>
  </si>
  <si>
    <t xml:space="preserve">Base de datos de graduados y titulados con fechas (últimos cinco años) para calcular ID25 e ID28 por área; ID29 sustentado.</t>
  </si>
  <si>
    <t xml:space="preserve">8.6</t>
  </si>
  <si>
    <t xml:space="preserve">Información accesible para decidir</t>
  </si>
  <si>
    <t xml:space="preserve">EV40 – EV44</t>
  </si>
  <si>
    <t xml:space="preserve">Política de Calidad; SUM</t>
  </si>
  <si>
    <t xml:space="preserve">no hay un tablero de indicadores accesible a coordinadores y docentes, ni actas que registren su análisis.</t>
  </si>
  <si>
    <t xml:space="preserve">Tablero o repositorio de indicadores; actas donde se usó la información.</t>
  </si>
  <si>
    <t xml:space="preserve">Tablero o repositorio de indicadores accesible a coordinadores y docentes, y actas donde se usó la información (el tablero del SGC común puede cubrirlo cuando esté operativo).</t>
  </si>
  <si>
    <t xml:space="preserve">9.1</t>
  </si>
  <si>
    <t xml:space="preserve">Evaluación periódica del currículo</t>
  </si>
  <si>
    <t xml:space="preserve">EV45, EV46</t>
  </si>
  <si>
    <t xml:space="preserve">— (de apoyo: ID1, ID12)</t>
  </si>
  <si>
    <t xml:space="preserve">Ley Universitaria 30220; Estatuto UNMSM; Modelo educativo; Política de calidad</t>
  </si>
  <si>
    <t xml:space="preserve">M9 (Atendida)</t>
  </si>
  <si>
    <t xml:space="preserve">No desarrollado en el informe</t>
  </si>
  <si>
    <t xml:space="preserve">Informe de evaluación curricular con matrices (EV46).</t>
  </si>
  <si>
    <t xml:space="preserve">Documentos que norman la revisión del currículo (EV45); informe de evaluación curricular con matrices aprobadas en acta (EV46). Las guías de diseño curricular 2021 y 2026 que figuran en el Anexo pertenecen a este criterio.</t>
  </si>
  <si>
    <t xml:space="preserve">9.2</t>
  </si>
  <si>
    <t xml:space="preserve">Registro histórico de cambios curriculares</t>
  </si>
  <si>
    <t xml:space="preserve">EV47</t>
  </si>
  <si>
    <t xml:space="preserve">Registro histórico de cambios curriculares (EV47).</t>
  </si>
  <si>
    <t xml:space="preserve">Registro histórico de cambios curriculares por área (EV47).</t>
  </si>
  <si>
    <t xml:space="preserve">9.3</t>
  </si>
  <si>
    <t xml:space="preserve">Supervisión de actividades lectivas</t>
  </si>
  <si>
    <t xml:space="preserve">EV48</t>
  </si>
  <si>
    <t xml:space="preserve">Reglamento general para la actividad docente; Reglamento de evaluación del aprendizaje; Modelo educativo; Política de calidad</t>
  </si>
  <si>
    <t xml:space="preserve">M23 (Pendiente)</t>
  </si>
  <si>
    <t xml:space="preserve">Informes de supervisión y mejoras ejecutadas (EV48).</t>
  </si>
  <si>
    <t xml:space="preserve">Informes de supervisión de las actividades lectivas y mejoras ejecutadas (EV48); ID11 calculado según el Modelo (referencial 90 %). Matrices pendientes: M23.</t>
  </si>
  <si>
    <t xml:space="preserve">10.1</t>
  </si>
  <si>
    <t xml:space="preserve">Diseño del SGC</t>
  </si>
  <si>
    <t xml:space="preserve">EV49</t>
  </si>
  <si>
    <t xml:space="preserve">Política de Calidad; Estatuto UNMSM; PEI UNMSM (2026-2030); Modelo educativo</t>
  </si>
  <si>
    <t xml:space="preserve">Manual de calidad; plan y resultados de implementación.</t>
  </si>
  <si>
    <t xml:space="preserve">Manual de calidad del programa y plan de implementación aprobados, con resultados (EV49). En elaboración en el SGC común; falta su aprobación.</t>
  </si>
  <si>
    <t xml:space="preserve">10.2</t>
  </si>
  <si>
    <t xml:space="preserve">Procesos mínimos del SGC</t>
  </si>
  <si>
    <t xml:space="preserve">EV50</t>
  </si>
  <si>
    <t xml:space="preserve">Política de calidad; Estatuto UNMSM; PEI UNMSM (2026-2030); Modelo educativo</t>
  </si>
  <si>
    <t xml:space="preserve">Mapa de procesos y fichas de proceso.</t>
  </si>
  <si>
    <t xml:space="preserve">Mapa de procesos y fichas de los nueve procesos mínimos del criterio (EV50). En elaboración en el SGC común; falta su aprobación.</t>
  </si>
  <si>
    <t xml:space="preserve">10.3</t>
  </si>
  <si>
    <t xml:space="preserve">Registro histórico del SGC</t>
  </si>
  <si>
    <t xml:space="preserve">EV51</t>
  </si>
  <si>
    <t xml:space="preserve">Política de calidad; Estatuto UNMSM</t>
  </si>
  <si>
    <t xml:space="preserve">Registro de versiones del SGC (EV51).</t>
  </si>
  <si>
    <t xml:space="preserve">Registro histórico de versiones del SGC (EV51).</t>
  </si>
  <si>
    <t xml:space="preserve">10.4</t>
  </si>
  <si>
    <t xml:space="preserve">Evaluación periódica del SGC</t>
  </si>
  <si>
    <t xml:space="preserve">EV52</t>
  </si>
  <si>
    <t xml:space="preserve">Informes de revisión por la dirección y auditorías (EV52).</t>
  </si>
  <si>
    <t xml:space="preserve">Informes de revisión por la dirección y auditorías del SGC, con acciones de mejora propuestas e implementadas (EV52).</t>
  </si>
  <si>
    <t xml:space="preserve">Índice de 28 matrices: criterio que respalda y estado</t>
  </si>
  <si>
    <t xml:space="preserve">Fuente: «Índice de matrices» (tabla de alineamiento y checklist de atendidas vs. pendientes). Los textos están resumidos.</t>
  </si>
  <si>
    <t xml:space="preserve">Bloque</t>
  </si>
  <si>
    <t xml:space="preserve">Matriz</t>
  </si>
  <si>
    <t xml:space="preserve">Criterio(s) que respalda</t>
  </si>
  <si>
    <t xml:space="preserve">Estado</t>
  </si>
  <si>
    <t xml:space="preserve">Detalle del sustento</t>
  </si>
  <si>
    <t xml:space="preserve">I. Alineamiento estratégico e institucional</t>
  </si>
  <si>
    <t xml:space="preserve">Alineación de los propósitos de la EP con la Visión y Misión de la UNMSM y de la Facultad</t>
  </si>
  <si>
    <t xml:space="preserve">Atendida</t>
  </si>
  <si>
    <t xml:space="preserve">Cubierta por la Fuente 1 y la Fuente 2</t>
  </si>
  <si>
    <t xml:space="preserve">Alineamiento de los propósitos del programa con la Visión y Misión institucional, con enfoque de impacto</t>
  </si>
  <si>
    <t xml:space="preserve">Cubierta por la Fuente 3</t>
  </si>
  <si>
    <t xml:space="preserve">Alineación de los propósitos de la Escuela con los referentes institucionales universitarios</t>
  </si>
  <si>
    <t xml:space="preserve">Alineación de los propósitos con las políticas, OEI y valores del PEI UNMSM 2026-2030</t>
  </si>
  <si>
    <t xml:space="preserve">Cubierta por la Fuente 4</t>
  </si>
  <si>
    <t xml:space="preserve">Matriz y análisis PEST de factores externos</t>
  </si>
  <si>
    <t xml:space="preserve">2.1, 6.1</t>
  </si>
  <si>
    <t xml:space="preserve">Cubierta por la Fuente 10 (28 factores, revalidada al 2026)</t>
  </si>
  <si>
    <t xml:space="preserve">II. Objetivos educacionales y perfil de egreso</t>
  </si>
  <si>
    <t xml:space="preserve">Alineación de los Objetivos Educacionales con políticas y objetivos estratégicos</t>
  </si>
  <si>
    <t xml:space="preserve">Cubierta por la Fuente 5</t>
  </si>
  <si>
    <t xml:space="preserve">Evaluación y logro de los Objetivos Educacionales (indicadores de éxito post-egreso, métodos, fuentes, metas)</t>
  </si>
  <si>
    <t xml:space="preserve">6.1, 6.2</t>
  </si>
  <si>
    <t xml:space="preserve">Coherencia cualitativa (A, M, B) entre competencias del perfil y propósitos</t>
  </si>
  <si>
    <t xml:space="preserve">Cubierta por la Fuente 8</t>
  </si>
  <si>
    <t xml:space="preserve">Comparativa del perfil de egreso para registro histórico (Plan 2018 vs. propuesta 2026)</t>
  </si>
  <si>
    <t xml:space="preserve">9.1, 9.2</t>
  </si>
  <si>
    <t xml:space="preserve">Cubierta por la Fuente 12 (de 12 a 13 competencias)</t>
  </si>
  <si>
    <t xml:space="preserve">III. Diseño curricular y carga académica</t>
  </si>
  <si>
    <t xml:space="preserve">Competencias genéricas, específicas y técnico-disciplinares con niveles de logro</t>
  </si>
  <si>
    <t xml:space="preserve">2.2, 2.3</t>
  </si>
  <si>
    <t xml:space="preserve">Cubierta por la Fuente 6 (12 competencias, niveles 1 a 3)</t>
  </si>
  <si>
    <t xml:space="preserve">Articulación de asignaturas con competencias del perfil / mapa de competencias</t>
  </si>
  <si>
    <t xml:space="preserve">Cubierta por la Fuente 9 y su duplicado, la Fuente 11</t>
  </si>
  <si>
    <t xml:space="preserve">Asignaturas asociadas a I+D+i, formación humanística, ciudadanía y responsabilidad social</t>
  </si>
  <si>
    <t xml:space="preserve">2.1, 2.3, 2.5, 6.1</t>
  </si>
  <si>
    <t xml:space="preserve">Cubierta por la Fuente 13</t>
  </si>
  <si>
    <t xml:space="preserve">Créditos vs. horas (carga semanal total menor o igual a 40 horas) [NUEVA]</t>
  </si>
  <si>
    <t xml:space="preserve">Pendiente</t>
  </si>
  <si>
    <t xml:space="preserve">Matriz nueva, diseñada para el criterio 2.4</t>
  </si>
  <si>
    <t xml:space="preserve">IV. Coherencia micro-curricular y evaluación</t>
  </si>
  <si>
    <t xml:space="preserve">Coherencia general (propósitos, competencias, asignaturas, resultados, productos, instrumentos)</t>
  </si>
  <si>
    <t xml:space="preserve">Falta vaciar la estructura curricular al formato integrado</t>
  </si>
  <si>
    <t xml:space="preserve">Articulación entre propósitos del programa y competencias del perfil</t>
  </si>
  <si>
    <t xml:space="preserve">Cubierta conceptualmente por la Fuente 8</t>
  </si>
  <si>
    <t xml:space="preserve">Articulación perfil–asignaturas (progresión I/D/C/E)</t>
  </si>
  <si>
    <t xml:space="preserve">Cubierta por la Fuente 9 y la Fuente 11</t>
  </si>
  <si>
    <t xml:space="preserve">Ficha técnica de consistencia del sílabo, por asignatura</t>
  </si>
  <si>
    <t xml:space="preserve">Falta individualizar las fichas por asignatura</t>
  </si>
  <si>
    <t xml:space="preserve">Verificación de coherencia didáctica por asignatura (checklist del Comité de Calidad)</t>
  </si>
  <si>
    <t xml:space="preserve">Formato de control para la auditoría semestral de sílabos</t>
  </si>
  <si>
    <t xml:space="preserve">Resultados de cobertura y progresión del plan curricular (sábana de brechas de logro)</t>
  </si>
  <si>
    <t xml:space="preserve">Registro de brechas y consolidado de logros</t>
  </si>
  <si>
    <t xml:space="preserve">V. Docencia, desempeño y mejora continua</t>
  </si>
  <si>
    <t xml:space="preserve">Perfil actitudinal del docente investigador frente al perfil de egreso</t>
  </si>
  <si>
    <t xml:space="preserve">4.1, 4.3</t>
  </si>
  <si>
    <t xml:space="preserve">Cubierta por la Fuente 7</t>
  </si>
  <si>
    <t xml:space="preserve">Autoevaluación docente [NUEVA]</t>
  </si>
  <si>
    <t xml:space="preserve">Matriz nueva, diseñada para el criterio 4.4</t>
  </si>
  <si>
    <t xml:space="preserve">Modificación de sílabos y trazabilidad de aportes de los grupos de interés [NUEVA]</t>
  </si>
  <si>
    <t xml:space="preserve">Matriz nueva; se sugiere una por cada grupo de interés</t>
  </si>
  <si>
    <t xml:space="preserve">Seguimiento académico y control de cumplimiento (avance silábico, reprogramaciones) [NUEVA]</t>
  </si>
  <si>
    <t xml:space="preserve">Matriz nueva, diseñada para el criterio 9.3</t>
  </si>
  <si>
    <t xml:space="preserve">VI. Gestión y bienestar institucional</t>
  </si>
  <si>
    <t xml:space="preserve">Cumplimiento de requisitos del cuerpo directivo (24 ítems, escala 0 a 2)</t>
  </si>
  <si>
    <t xml:space="preserve">Plantilla de auditoría y legajo para la Dirección de Escuela</t>
  </si>
  <si>
    <t xml:space="preserve">Brechas y planes de acción del cuerpo directivo</t>
  </si>
  <si>
    <t xml:space="preserve">Consolidado de idoneidad y regularización directiva</t>
  </si>
  <si>
    <t xml:space="preserve">Intervención del programa en quejas, reclamos y denuncias por etapas (18 fases)</t>
  </si>
  <si>
    <t xml:space="preserve">Flujo para documentar la atención de incidencias</t>
  </si>
  <si>
    <t xml:space="preserve">Intervención en QRD según el tipo de caso (Escuela, UNAYOE, tutoría, Defensoría)</t>
  </si>
  <si>
    <t xml:space="preserve">Cuadro de competencias y derivación</t>
  </si>
  <si>
    <t xml:space="preserve">Consolidado, anónimo e integral de seguimiento y mejoras derivadas de QRD</t>
  </si>
  <si>
    <t xml:space="preserve">1.4, 8.2</t>
  </si>
  <si>
    <t xml:space="preserve">Bitácora confidencial del cierre y su impacto</t>
  </si>
  <si>
    <t xml:space="preserve">Atendidas</t>
  </si>
  <si>
    <t xml:space="preserve">Pendientes</t>
  </si>
  <si>
    <t xml:space="preserve">Indicadores ID01–ID29: referencial, valor en el informe y sustento</t>
  </si>
  <si>
    <t xml:space="preserve">Referenciales de la guía (matriz M3). Valores de la tabla «Presentación de los resultados» del informe (periodo 2025-1; ID01 de la tabla de cálculo). Los indicadores de tiempo (ID25, ID26) cumplen si el valor es menor o igual al referencial.</t>
  </si>
  <si>
    <t xml:space="preserve">ID</t>
  </si>
  <si>
    <t xml:space="preserve">Indicador</t>
  </si>
  <si>
    <t xml:space="preserve">Referencial</t>
  </si>
  <si>
    <t xml:space="preserve">Valor en el informe</t>
  </si>
  <si>
    <t xml:space="preserve">Estado frente al referencial</t>
  </si>
  <si>
    <t xml:space="preserve">Criterios donde se cita (guía)</t>
  </si>
  <si>
    <t xml:space="preserve">Evidencia fuente (guía)</t>
  </si>
  <si>
    <t xml:space="preserve">Cálculo sustentado con variables</t>
  </si>
  <si>
    <t xml:space="preserve">Observación</t>
  </si>
  <si>
    <t xml:space="preserve">ID01</t>
  </si>
  <si>
    <t xml:space="preserve">Estudiantes satisfechos con el currículo</t>
  </si>
  <si>
    <t xml:space="preserve">2.1, 3.1, 8.2</t>
  </si>
  <si>
    <t xml:space="preserve">EV41</t>
  </si>
  <si>
    <t xml:space="preserve">Sí</t>
  </si>
  <si>
    <t xml:space="preserve">Único con variables y resultado (224 de 290 = 77,2 %). La tabla de resultados lo deja en blanco.</t>
  </si>
  <si>
    <t xml:space="preserve">ID02</t>
  </si>
  <si>
    <t xml:space="preserve">Estudiantes satisfechos con el desempeño docente</t>
  </si>
  <si>
    <t xml:space="preserve">4.2, 4.3, 4.4, 8.2, 8.3</t>
  </si>
  <si>
    <t xml:space="preserve">EV41, EV25</t>
  </si>
  <si>
    <t xml:space="preserve">No: variables sin valores</t>
  </si>
  <si>
    <t xml:space="preserve">ID03</t>
  </si>
  <si>
    <t xml:space="preserve">Estudiantes satisfechos con los recursos de enseñanza aprendizaje</t>
  </si>
  <si>
    <t xml:space="preserve">3.1, 5.1, 5.2, 5.3, 5.5, 8.2</t>
  </si>
  <si>
    <t xml:space="preserve">ID04</t>
  </si>
  <si>
    <t xml:space="preserve">Estudiantes satisfechos con la evaluación del aprendizaje</t>
  </si>
  <si>
    <t xml:space="preserve">3.1–3.4, 4.1, 8.2, 8.4</t>
  </si>
  <si>
    <t xml:space="preserve">ID05</t>
  </si>
  <si>
    <t xml:space="preserve">Estudiantes satisfechos con la asesoría/tutoría para la titulación</t>
  </si>
  <si>
    <t xml:space="preserve">3.5, 8.2</t>
  </si>
  <si>
    <t xml:space="preserve">EV41, EV18</t>
  </si>
  <si>
    <t xml:space="preserve">ID06</t>
  </si>
  <si>
    <t xml:space="preserve">Evolución del porcentaje de postulantes al programa</t>
  </si>
  <si>
    <t xml:space="preserve">Registros de admisión</t>
  </si>
  <si>
    <t xml:space="preserve">El referencial es una variación no negativa (0 %), no un umbral; el valor 47,6 % no se puede verificar sin las variables (postulantes del último y penúltimo año).</t>
  </si>
  <si>
    <t xml:space="preserve">ID07</t>
  </si>
  <si>
    <t xml:space="preserve">Estudiantes satisfechos con bienestar y actividades recreativas, culturales, artísticas y deportivas</t>
  </si>
  <si>
    <t xml:space="preserve">7.4, 8.2</t>
  </si>
  <si>
    <t xml:space="preserve">EV41, EV37</t>
  </si>
  <si>
    <t xml:space="preserve">ID08</t>
  </si>
  <si>
    <t xml:space="preserve">Estudiantes satisfechos con los servicios administrativos</t>
  </si>
  <si>
    <t xml:space="preserve">1.5, 8.2</t>
  </si>
  <si>
    <t xml:space="preserve">ID09</t>
  </si>
  <si>
    <t xml:space="preserve">Estudiantes satisfechos con el apoyo pedagógico</t>
  </si>
  <si>
    <t xml:space="preserve">3.5, 7.4, 8.2</t>
  </si>
  <si>
    <t xml:space="preserve">EV41, EV38</t>
  </si>
  <si>
    <t xml:space="preserve">ID10</t>
  </si>
  <si>
    <t xml:space="preserve">Estudiantes aprobados por asignatura</t>
  </si>
  <si>
    <t xml:space="preserve">3.1, 8.4</t>
  </si>
  <si>
    <t xml:space="preserve">EV17</t>
  </si>
  <si>
    <t xml:space="preserve">ID11</t>
  </si>
  <si>
    <t xml:space="preserve">Cumplimiento de los sílabos</t>
  </si>
  <si>
    <t xml:space="preserve">2.7, 9.3</t>
  </si>
  <si>
    <t xml:space="preserve">EV10, EV48</t>
  </si>
  <si>
    <t xml:space="preserve">El criterio 2.7 dice que el ID11 aún no se calcula como define el Modelo; aquí figura 97,3 %. Aclarar el origen.</t>
  </si>
  <si>
    <t xml:space="preserve">ID12</t>
  </si>
  <si>
    <t xml:space="preserve">Docentes satisfechos con el currículo</t>
  </si>
  <si>
    <t xml:space="preserve">2.1, 8.2</t>
  </si>
  <si>
    <t xml:space="preserve">EV42</t>
  </si>
  <si>
    <t xml:space="preserve">ID13</t>
  </si>
  <si>
    <t xml:space="preserve">Docentes a tiempo completo</t>
  </si>
  <si>
    <t xml:space="preserve">4.3, 8.2</t>
  </si>
  <si>
    <t xml:space="preserve">Referencial corregido a 15 % según la ficha del Modelo CONEAU; la guía UNMSM (matriz M3) trae 25 %. Confirmar con la OCAA cuál aplica.</t>
  </si>
  <si>
    <t xml:space="preserve">Docentes con grado de doctor</t>
  </si>
  <si>
    <t xml:space="preserve">4.1, 4.3, 4.6, 8.2</t>
  </si>
  <si>
    <t xml:space="preserve">EV22, EV23</t>
  </si>
  <si>
    <t xml:space="preserve">ID15</t>
  </si>
  <si>
    <t xml:space="preserve">Docentes capacitados en docencia e investigación (dos años)</t>
  </si>
  <si>
    <t xml:space="preserve">4.4, 4.5, 8.2</t>
  </si>
  <si>
    <t xml:space="preserve">EV27</t>
  </si>
  <si>
    <t xml:space="preserve">ID16</t>
  </si>
  <si>
    <t xml:space="preserve">Docentes satisfechos con el fortalecimiento de capacidades</t>
  </si>
  <si>
    <t xml:space="preserve">ID17</t>
  </si>
  <si>
    <t xml:space="preserve">Docentes satisfechos con los recursos de enseñanza aprendizaje</t>
  </si>
  <si>
    <t xml:space="preserve">5.1, 5.2, 5.3, 5.5, 8.2</t>
  </si>
  <si>
    <t xml:space="preserve">ID18</t>
  </si>
  <si>
    <t xml:space="preserve">Docentes satisfechos con los servicios administrativos</t>
  </si>
  <si>
    <t xml:space="preserve">ID19</t>
  </si>
  <si>
    <t xml:space="preserve">Docentes con desempeño satisfactorio en opinión de estudiantes</t>
  </si>
  <si>
    <t xml:space="preserve">3.1, 4.1, 4.2, 4.4, 8.3</t>
  </si>
  <si>
    <t xml:space="preserve">EV25</t>
  </si>
  <si>
    <t xml:space="preserve">ID20</t>
  </si>
  <si>
    <t xml:space="preserve">Egresados satisfechos con la calidad y utilidad de la formación</t>
  </si>
  <si>
    <t xml:space="preserve">3.3, 6.1, 6.2, 8.2</t>
  </si>
  <si>
    <t xml:space="preserve">EV34, EV43</t>
  </si>
  <si>
    <t xml:space="preserve">El criterio 6.2 dice que no hay mediciones; aquí figura un valor. No citarlo hasta documentar la encuesta.</t>
  </si>
  <si>
    <t xml:space="preserve">ID21</t>
  </si>
  <si>
    <t xml:space="preserve">Egresados satisfechos con los servicios administrativos</t>
  </si>
  <si>
    <t xml:space="preserve">EV43</t>
  </si>
  <si>
    <t xml:space="preserve">ID22</t>
  </si>
  <si>
    <t xml:space="preserve">Egresados satisfechos con la calidad de la enseñanza</t>
  </si>
  <si>
    <t xml:space="preserve">3.1, 6.2, 8.2</t>
  </si>
  <si>
    <t xml:space="preserve">El criterio 6.2 dice que no hay mediciones; aquí figura un valor.</t>
  </si>
  <si>
    <t xml:space="preserve">ID23</t>
  </si>
  <si>
    <t xml:space="preserve">Egresados satisfechos con bienestar y actividades</t>
  </si>
  <si>
    <t xml:space="preserve">Egresados satisfechos con los servicios de apoyo</t>
  </si>
  <si>
    <t xml:space="preserve">3.5, 7.2, 7.4, 8.2</t>
  </si>
  <si>
    <t xml:space="preserve">ID25</t>
  </si>
  <si>
    <t xml:space="preserve">Tiempo promedio entre egreso y titulación</t>
  </si>
  <si>
    <t xml:space="preserve">EV43, registro de grados</t>
  </si>
  <si>
    <t xml:space="preserve">El criterio 8.5 dice que no se calculó; aquí figura 4,66 años, por encima del referencial de 2 años.</t>
  </si>
  <si>
    <t xml:space="preserve">ID26</t>
  </si>
  <si>
    <t xml:space="preserve">Tiempo promedio entre egreso y primer empleo en el campo</t>
  </si>
  <si>
    <t xml:space="preserve">6.1, 6.2, 6.3, 8.2</t>
  </si>
  <si>
    <t xml:space="preserve">El criterio 6.2 dice que no hay mediciones; aquí figura 0,28 años.</t>
  </si>
  <si>
    <t xml:space="preserve">ID27</t>
  </si>
  <si>
    <t xml:space="preserve">Egresados que laboran en su campo profesional</t>
  </si>
  <si>
    <t xml:space="preserve">ID28</t>
  </si>
  <si>
    <t xml:space="preserve">Titulados dentro de los dos años posteriores al egreso</t>
  </si>
  <si>
    <t xml:space="preserve">6.1–6.3, 8.2, 8.5</t>
  </si>
  <si>
    <t xml:space="preserve">EV17, EV34</t>
  </si>
  <si>
    <t xml:space="preserve">El criterio 8.5 dice que no se calculó. El valor 0,6 % frente a un referencial de 60 % sugiere un error de unidad (¿0,6 = 60 %?). Verificar.</t>
  </si>
  <si>
    <t xml:space="preserve">ID29</t>
  </si>
  <si>
    <t xml:space="preserve">Empleadores satisfechos con el desempeño de los egresados</t>
  </si>
  <si>
    <t xml:space="preserve">EV35, EV44</t>
  </si>
  <si>
    <t xml:space="preserve">El criterio 6.3 dice que no hay resultados ni consultas a empleadores desde 2018; aquí figura 100 %.</t>
  </si>
  <si>
    <t xml:space="preserve">Con variables sustentadas</t>
  </si>
  <si>
    <t xml:space="preserve">Con valor en la tabla de resultados</t>
  </si>
  <si>
    <t xml:space="preserve">Bajo el referencial</t>
  </si>
  <si>
    <t xml:space="preserve">Observaciones a los documentos, por gravedad</t>
  </si>
  <si>
    <t xml:space="preserve">Gravedad</t>
  </si>
  <si>
    <t xml:space="preserve">Dónde</t>
  </si>
  <si>
    <t xml:space="preserve">Qué hacer</t>
  </si>
  <si>
    <t xml:space="preserve">Alta</t>
  </si>
  <si>
    <t xml:space="preserve">Los estándares 9 y 10 (7 criterios, 13 % del modelo) no están desarrollados en el informe, aunque el índice los lista en las páginas 83 y 88.</t>
  </si>
  <si>
    <t xml:space="preserve">Informe, estándares 9 y 10</t>
  </si>
  <si>
    <t xml:space="preserve">Redactarlos con evidencias EV45 a EV52. Hoy no hay ninguna evidencia propia del programa en esos dos estándares.</t>
  </si>
  <si>
    <t xml:space="preserve">15 de los 46 criterios desarrollados llevan la valoración «Por definir». La escala del modelo es solo NL, L y LP.</t>
  </si>
  <si>
    <t xml:space="preserve">Criterios 2.4, 2.5, 2.7, 4.1, 4.4, 4.6, 5.4, 6.1, 6.2, 6.3, 6.4, 7.3, 7.4, 8.2, 8.5</t>
  </si>
  <si>
    <t xml:space="preserve">Cerrar cada uno como NL o L antes de entregar. Con las debilidades que el propio informe declara, varios serían NL.</t>
  </si>
  <si>
    <t xml:space="preserve">La tabla de resultados de indicadores muestra valores de ID20, ID22 y ID25 a ID29 que el informe dice no haber medido (criterios 6.2, 6.3 y 8.5). La tabla de cálculo está vacía para esos indicadores.</t>
  </si>
  <si>
    <t xml:space="preserve">Informe, tablas de indicadores; criterios 6.2, 6.3, 8.5</t>
  </si>
  <si>
    <t xml:space="preserve">No citar esos valores hasta documentar la encuesta, la base de titulados y la consulta a empleadores. Rehacer la tabla con las variables.</t>
  </si>
  <si>
    <t xml:space="preserve">Solo ID01 tiene el cálculo con variables (224 de 290). Los otros 28 indicadores no muestran numerador ni denominador, y la tabla de resultados trae un solo periodo (2025-1) cuando se evalúan cuatro semestres.</t>
  </si>
  <si>
    <t xml:space="preserve">Informe, «Información para el cálculo de los indicadores»</t>
  </si>
  <si>
    <t xml:space="preserve">Completar variables y resultados por semestre (2024-II, 2025-I, 2025-II, 2026-I) y por área.</t>
  </si>
  <si>
    <t xml:space="preserve">Solo 8 de las 191 evidencias citadas en los criterios tienen enlace. La guía exige el enlace directo a cada documento, no portales genéricos.</t>
  </si>
  <si>
    <t xml:space="preserve">Informe, campo «Evidencias (links)»</t>
  </si>
  <si>
    <t xml:space="preserve">Subir cada evidencia al repositorio y enlazarla con su código.</t>
  </si>
  <si>
    <t xml:space="preserve">El informe indica que el CUI está «vigente hasta el 14 de mayo de 2025», es decir, vencido. La guía pide el CUI vigente.</t>
  </si>
  <si>
    <t xml:space="preserve">Datos de la Comisión de Calidad</t>
  </si>
  <si>
    <t xml:space="preserve">Confirmar con la OCAA la vigencia real y actualizar la fecha.</t>
  </si>
  <si>
    <t xml:space="preserve">Media</t>
  </si>
  <si>
    <t xml:space="preserve">ID28 aparece como 0,6 % frente a un referencial de 60 %; probable error de unidad. ID25 (4,66 años) supera el referencial de 2 años. ID29 figura en 100 %, sin consulta a empleadores desde 2018.</t>
  </si>
  <si>
    <t xml:space="preserve">Tabla de resultados de indicadores</t>
  </si>
  <si>
    <t xml:space="preserve">Verificar origen y unidad antes de usarlos.</t>
  </si>
  <si>
    <t xml:space="preserve">El criterio 1.1 está en LP, pero cita un organigrama de 2018 (el Anexo registra el Organigrama Institucional 2025), y el criterio 1.2 reconoce que las coordinaciones de área no tienen resolución de designación. LP exige que no haya debilidades significativas.</t>
  </si>
  <si>
    <t xml:space="preserve">Criterio 1.1</t>
  </si>
  <si>
    <t xml:space="preserve">Actualizar el organigrama y valorar con prudencia: L, o LP solo si se subsanan.</t>
  </si>
  <si>
    <t xml:space="preserve">En 3.6, 7 de 23 tesis tienen certificado de ética posterior a la sustentación, y 11 proyectos se inscribieron por regularización poco antes de sustentar. Es una señal de riesgo de integridad.</t>
  </si>
  <si>
    <t xml:space="preserve">Criterio 3.6</t>
  </si>
  <si>
    <t xml:space="preserve">Corregir el procedimiento (dictamen antes de ejecutar, certificado antes de sustentar) y registrarlo como mejora.</t>
  </si>
  <si>
    <t xml:space="preserve">Las matrices 1 a 4 y 6 se respaldan en el criterio 1.3, pero la guía de la UNMSM indica que las matrices formuladas para el «Estándar 1 de propósitos» (Sineace 2016) deben citarse en 2.1, 2.2, 2.3, 3.3 y 9.1. Las matrices muestran además el encabezado «Estándar 1: propósitos» y «Plan curricular 2018».</t>
  </si>
  <si>
    <t xml:space="preserve">Índice de matrices</t>
  </si>
  <si>
    <t xml:space="preserve">Confirmar con la OCAA dónde se citan, y actualizar el encabezado al Modelo Coneau.</t>
  </si>
  <si>
    <t xml:space="preserve">13 de las 28 matrices están pendientes (13, 14, 17, 18, 19, 21 a 28). Las «atendidas» se apoyan en «Fuentes» numeradas (1 a 13) que el índice no identifica.</t>
  </si>
  <si>
    <t xml:space="preserve">Listar qué documento es cada Fuente y dejar cada matriz aprobada en acta del Comité de Calidad, con fecha y responsables.</t>
  </si>
  <si>
    <t xml:space="preserve">Los estándares 2, 3, 5 y 9 se presentan por área, pero el índice de matrices es único para la Escuela. Hace falta una versión por cada una de las cuatro áreas.</t>
  </si>
  <si>
    <t xml:space="preserve">Informe y matrices</t>
  </si>
  <si>
    <t xml:space="preserve">Definir si cada matriz se elabora por área (Radiología, Terapia Física, Terapia Ocupacional, Laboratorio Clínico y Anatomía Patológica).</t>
  </si>
  <si>
    <t xml:space="preserve">Las matrices 9 y 10 hablan de 12 competencias (2018) y 13 propuestas, mientras que el criterio 2.2 del informe describe listados distintos por área.</t>
  </si>
  <si>
    <t xml:space="preserve">Matrices 9 y 10; criterio 2.2</t>
  </si>
  <si>
    <t xml:space="preserve">Verificar que ambos documentos describan lo mismo.</t>
  </si>
  <si>
    <t xml:space="preserve">Baja</t>
  </si>
  <si>
    <t xml:space="preserve">La codificación del informe (E1.1-01 y un EV entre paréntesis) difiere de la que recomienda la guía (EV5.1, EV5.2…).</t>
  </si>
  <si>
    <t xml:space="preserve">Informe, evidencias</t>
  </si>
  <si>
    <t xml:space="preserve">Unificar con la convención de la guía.</t>
  </si>
  <si>
    <t xml:space="preserve">El informe cumple el límite de 250 palabras: las 46 argumentaciones tienen entre 152 y 248 palabras (contando puntos fuertes, débiles y oportunidad).</t>
  </si>
  <si>
    <t xml:space="preserve">Informe, argumentaciones</t>
  </si>
  <si>
    <t xml:space="preserve">Sin acción; recontar tras cualquier edición.</t>
  </si>
  <si>
    <t xml:space="preserve">El informe es transparente con sus puntos débiles y los vincula con una oportunidad de mejora en casi todos los criterios. Es una base sólida para completar.</t>
  </si>
  <si>
    <t xml:space="preserve">Informe</t>
  </si>
  <si>
    <t xml:space="preserve">Mantener ese nivel de detalle en los estándares 9 y 10.</t>
  </si>
  <si>
    <t xml:space="preserve">Fuentes y método</t>
  </si>
  <si>
    <t xml:space="preserve">Informe final de autoevaluación pregrado EPTM 2026 (estándares 1 a 8), 46 criterios. Se leyeron valoración, argumentación, puntos débiles, oportunidades de mejora y evidencias citadas.</t>
  </si>
  <si>
    <t xml:space="preserve">Reporte de evidencias</t>
  </si>
  <si>
    <t xml:space="preserve">Reporte de evidencias de acreditación 2026 (Anexo 2026-1): documentos institucionales para 40 de los 53 criterios; los 13 restantes no tienen documentos (1.5, 2.2 a 2.5, 2.7, 3.1, 3.3, 4.4, 5.2, 5.4, 5.5, 6.4).</t>
  </si>
  <si>
    <t xml:space="preserve">Guía UNMSM</t>
  </si>
  <si>
    <t xml:space="preserve">Guía del informe de autoevaluación de pregrado UNMSM: matrices M2 (evidencias por criterio y evidencias por completar) y M3 (referenciales de indicadores).</t>
  </si>
  <si>
    <t xml:space="preserve">Matrices</t>
  </si>
  <si>
    <t xml:space="preserve">Índice de matrices (28): alineamiento a criterios y checklist de atendidas y pendientes.</t>
  </si>
  <si>
    <t xml:space="preserve">Modelo</t>
  </si>
  <si>
    <t xml:space="preserve">Modelo CONEAU 2026: 10 estándares, 53 criterios, 52 evidencias (EV1 a EV52) y 29 indicadores. Argumentación máxima de 250 palabras por criterio.</t>
  </si>
  <si>
    <t xml:space="preserve">Columna «EV que el informe no cita»</t>
  </si>
  <si>
    <t xml:space="preserve">Evidencias EV que exige la guía para el criterio menos las que el informe etiqueta con (EVn) en sus evidencias.</t>
  </si>
  <si>
    <t xml:space="preserve">Columna «Evidencia que me falta»</t>
  </si>
  <si>
    <t xml:space="preserve">Síntesis redactada a partir de los puntos débiles del informe y las evidencias por completar de la guía, más las matrices pendientes. No agrega exigencias que no estén en esos documentos.</t>
  </si>
  <si>
    <t xml:space="preserve">Límites</t>
  </si>
  <si>
    <t xml:space="preserve">No se abrieron los documentos enlazados por el informe (carpetas de Drive) ni los anexos de matrices por área. Si una evidencia existe en esos enlaces pero no está citada, aquí aparecerá como faltante. Los estándares 9 y 10 no figuran en el informe recibido.</t>
  </si>
</sst>
</file>

<file path=xl/styles.xml><?xml version="1.0" encoding="utf-8"?>
<styleSheet xmlns="http://schemas.openxmlformats.org/spreadsheetml/2006/main">
  <numFmts count="5">
    <numFmt numFmtId="164" formatCode="General"/>
    <numFmt numFmtId="165" formatCode="General"/>
    <numFmt numFmtId="166" formatCode="0%"/>
    <numFmt numFmtId="167" formatCode="0.0%"/>
    <numFmt numFmtId="168" formatCode="0.00&quot; años&quot;"/>
  </numFmts>
  <fonts count="14">
    <font>
      <sz val="11"/>
      <color theme="1"/>
      <name val="Calibri"/>
      <family val="2"/>
      <charset val="1"/>
    </font>
    <font>
      <sz val="10"/>
      <name val="Arial"/>
      <family val="0"/>
    </font>
    <font>
      <sz val="10"/>
      <name val="Arial"/>
      <family val="0"/>
    </font>
    <font>
      <sz val="10"/>
      <name val="Arial"/>
      <family val="0"/>
    </font>
    <font>
      <b val="true"/>
      <sz val="15"/>
      <color rgb="FF2E1A5C"/>
      <name val="Arial"/>
      <family val="0"/>
      <charset val="1"/>
    </font>
    <font>
      <i val="true"/>
      <sz val="9"/>
      <name val="Arial"/>
      <family val="0"/>
      <charset val="1"/>
    </font>
    <font>
      <b val="true"/>
      <sz val="10"/>
      <color rgb="FFFFFFFF"/>
      <name val="Arial"/>
      <family val="0"/>
      <charset val="1"/>
    </font>
    <font>
      <sz val="9"/>
      <name val="Arial"/>
      <family val="0"/>
      <charset val="1"/>
    </font>
    <font>
      <b val="true"/>
      <sz val="9"/>
      <name val="Arial"/>
      <family val="0"/>
      <charset val="1"/>
    </font>
    <font>
      <b val="true"/>
      <sz val="11"/>
      <color rgb="FF2E1A5C"/>
      <name val="Arial"/>
      <family val="0"/>
      <charset val="1"/>
    </font>
    <font>
      <sz val="10"/>
      <name val="Arial"/>
      <family val="0"/>
      <charset val="1"/>
    </font>
    <font>
      <b val="true"/>
      <sz val="14"/>
      <color rgb="FF2E1A5C"/>
      <name val="Arial"/>
      <family val="0"/>
      <charset val="1"/>
    </font>
    <font>
      <b val="true"/>
      <sz val="10"/>
      <color rgb="FF1F1633"/>
      <name val="Arial"/>
      <family val="0"/>
      <charset val="1"/>
    </font>
    <font>
      <b val="true"/>
      <sz val="10"/>
      <name val="Arial"/>
      <family val="0"/>
      <charset val="1"/>
    </font>
  </fonts>
  <fills count="6">
    <fill>
      <patternFill patternType="none"/>
    </fill>
    <fill>
      <patternFill patternType="gray125"/>
    </fill>
    <fill>
      <patternFill patternType="solid">
        <fgColor rgb="FF2E1A5C"/>
        <bgColor rgb="FF1F1633"/>
      </patternFill>
    </fill>
    <fill>
      <patternFill patternType="solid">
        <fgColor rgb="FFEDE7F6"/>
        <bgColor rgb="FFD6EBDD"/>
      </patternFill>
    </fill>
    <fill>
      <patternFill patternType="solid">
        <fgColor rgb="FFC9A24B"/>
        <bgColor rgb="FFFF9900"/>
      </patternFill>
    </fill>
    <fill>
      <patternFill patternType="solid">
        <fgColor rgb="FFFFF4D6"/>
        <bgColor rgb="FFFBE7C0"/>
      </patternFill>
    </fill>
  </fills>
  <borders count="2">
    <border diagonalUp="false" diagonalDown="false">
      <left/>
      <right/>
      <top/>
      <bottom/>
      <diagonal/>
    </border>
    <border diagonalUp="false" diagonalDown="false">
      <left style="thin">
        <color rgb="FFBDB5D3"/>
      </left>
      <right style="thin">
        <color rgb="FFBDB5D3"/>
      </right>
      <top style="thin">
        <color rgb="FFBDB5D3"/>
      </top>
      <bottom style="thin">
        <color rgb="FFBDB5D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8" fillId="3" borderId="1" xfId="0" applyFont="true" applyBorder="true" applyAlignment="true" applyProtection="false">
      <alignment horizontal="center" vertical="top" textRotation="0" wrapText="true" indent="0" shrinkToFit="false"/>
      <protection locked="true" hidden="false"/>
    </xf>
    <xf numFmtId="164" fontId="8" fillId="3" borderId="1" xfId="0" applyFont="true" applyBorder="true" applyAlignment="true" applyProtection="false">
      <alignment horizontal="left"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12" fillId="4"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left"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left"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true" indent="0" shrinkToFit="false"/>
      <protection locked="true" hidden="false"/>
    </xf>
    <xf numFmtId="166" fontId="7" fillId="0" borderId="1" xfId="0" applyFont="true" applyBorder="true" applyAlignment="true" applyProtection="false">
      <alignment horizontal="center" vertical="top" textRotation="0" wrapText="true" indent="0" shrinkToFit="false"/>
      <protection locked="true" hidden="false"/>
    </xf>
    <xf numFmtId="167" fontId="7" fillId="0" borderId="1" xfId="0" applyFont="true" applyBorder="true" applyAlignment="true" applyProtection="false">
      <alignment horizontal="center" vertical="top" textRotation="0" wrapText="true" indent="0" shrinkToFit="false"/>
      <protection locked="true" hidden="false"/>
    </xf>
    <xf numFmtId="168" fontId="7" fillId="0" borderId="1" xfId="0" applyFont="true" applyBorder="true" applyAlignment="true" applyProtection="false">
      <alignment horizontal="center" vertical="top" textRotation="0" wrapText="tru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2E1A5C"/>
          <bgColor rgb="FF000000"/>
        </patternFill>
      </fill>
    </dxf>
    <dxf>
      <fill>
        <patternFill patternType="solid">
          <bgColor rgb="FF000000"/>
        </patternFill>
      </fill>
    </dxf>
    <dxf>
      <fill>
        <patternFill patternType="solid">
          <fgColor rgb="FFFFFFFF"/>
          <bgColor rgb="FF000000"/>
        </patternFill>
      </fill>
    </dxf>
    <dxf>
      <fill>
        <patternFill patternType="solid">
          <fgColor rgb="FFF6D5D5"/>
          <bgColor rgb="FF000000"/>
        </patternFill>
      </fill>
    </dxf>
    <dxf>
      <fill>
        <patternFill patternType="solid">
          <fgColor rgb="FFFBE7C0"/>
          <bgColor rgb="FF000000"/>
        </patternFill>
      </fill>
    </dxf>
    <dxf>
      <fill>
        <patternFill patternType="solid">
          <fgColor rgb="FFC9A24B"/>
          <bgColor rgb="FF000000"/>
        </patternFill>
      </fill>
    </dxf>
    <dxf>
      <fill>
        <patternFill patternType="solid">
          <fgColor rgb="FFFFF4D6"/>
          <bgColor rgb="FF000000"/>
        </patternFill>
      </fill>
    </dxf>
    <dxf>
      <fill>
        <patternFill patternType="solid">
          <fgColor rgb="FF1F1633"/>
          <bgColor rgb="FF000000"/>
        </patternFill>
      </fill>
    </dxf>
    <dxf>
      <fill>
        <patternFill patternType="solid">
          <fgColor rgb="FFD6EBDD"/>
          <bgColor rgb="FF000000"/>
        </patternFill>
      </fill>
    </dxf>
    <dxf>
      <fill>
        <patternFill>
          <bgColor rgb="FFF6D5D5"/>
        </patternFill>
      </fill>
    </dxf>
    <dxf>
      <fill>
        <patternFill>
          <bgColor rgb="FFFBE7C0"/>
        </patternFill>
      </fill>
    </dxf>
    <dxf>
      <fill>
        <patternFill>
          <bgColor rgb="FFD6EBD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DB5D3"/>
      <rgbColor rgb="FF808080"/>
      <rgbColor rgb="FF9999FF"/>
      <rgbColor rgb="FF993366"/>
      <rgbColor rgb="FFFFF4D6"/>
      <rgbColor rgb="FFEDE7F6"/>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6EBDD"/>
      <rgbColor rgb="FFFBE7C0"/>
      <rgbColor rgb="FF99CCFF"/>
      <rgbColor rgb="FFFF99CC"/>
      <rgbColor rgb="FFCC99FF"/>
      <rgbColor rgb="FFF6D5D5"/>
      <rgbColor rgb="FF3366FF"/>
      <rgbColor rgb="FF33CCCC"/>
      <rgbColor rgb="FF99CC00"/>
      <rgbColor rgb="FFFFCC00"/>
      <rgbColor rgb="FFFF9900"/>
      <rgbColor rgb="FFFF6600"/>
      <rgbColor rgb="FF666699"/>
      <rgbColor rgb="FFC9A24B"/>
      <rgbColor rgb="FF003366"/>
      <rgbColor rgb="FF339966"/>
      <rgbColor rgb="FF003300"/>
      <rgbColor rgb="FF1F1633"/>
      <rgbColor rgb="FF993300"/>
      <rgbColor rgb="FF993366"/>
      <rgbColor rgb="FF333399"/>
      <rgbColor rgb="FF2E1A5C"/>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1A5C"/>
    <pageSetUpPr fitToPage="false"/>
  </sheetPr>
  <dimension ref="A1:M2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52"/>
    <col collapsed="false" customWidth="true" hidden="false" outlineLevel="0" max="3" min="3" style="0" width="9"/>
    <col collapsed="false" customWidth="true" hidden="false" outlineLevel="0" max="5" min="4" style="0" width="6"/>
    <col collapsed="false" customWidth="true" hidden="false" outlineLevel="0" max="6" min="6" style="0" width="11"/>
    <col collapsed="false" customWidth="true" hidden="false" outlineLevel="0" max="7" min="7" style="0" width="14"/>
    <col collapsed="false" customWidth="true" hidden="false" outlineLevel="0" max="8" min="8" style="0" width="12"/>
    <col collapsed="false" customWidth="true" hidden="false" outlineLevel="0" max="9" min="9" style="0" width="13"/>
    <col collapsed="false" customWidth="true" hidden="false" outlineLevel="0" max="11" min="10" style="0" width="12"/>
    <col collapsed="false" customWidth="true" hidden="false" outlineLevel="0" max="12" min="12" style="0" width="11"/>
    <col collapsed="false" customWidth="true" hidden="false" outlineLevel="0" max="13" min="13" style="0" width="20"/>
  </cols>
  <sheetData>
    <row r="1" customFormat="false" ht="18.55" hidden="false" customHeight="false" outlineLevel="0" collapsed="false">
      <c r="A1" s="1" t="s">
        <v>0</v>
      </c>
    </row>
    <row r="2" customFormat="false" ht="15" hidden="false" customHeight="false" outlineLevel="0" collapsed="false">
      <c r="A2" s="2" t="s">
        <v>1</v>
      </c>
    </row>
    <row r="4" customFormat="false" ht="39.75" hidden="false" customHeight="true" outlineLevel="0" collapsed="false">
      <c r="A4" s="3" t="s">
        <v>2</v>
      </c>
      <c r="B4" s="3" t="s">
        <v>3</v>
      </c>
      <c r="C4" s="3" t="s">
        <v>4</v>
      </c>
      <c r="D4" s="3" t="s">
        <v>5</v>
      </c>
      <c r="E4" s="3" t="s">
        <v>6</v>
      </c>
      <c r="F4" s="3" t="s">
        <v>7</v>
      </c>
      <c r="G4" s="3" t="s">
        <v>8</v>
      </c>
      <c r="H4" s="3" t="s">
        <v>9</v>
      </c>
      <c r="I4" s="3" t="s">
        <v>10</v>
      </c>
      <c r="J4" s="3" t="s">
        <v>11</v>
      </c>
      <c r="K4" s="3" t="s">
        <v>12</v>
      </c>
      <c r="L4" s="3" t="s">
        <v>13</v>
      </c>
      <c r="M4" s="3" t="s">
        <v>14</v>
      </c>
    </row>
    <row r="5" customFormat="false" ht="15" hidden="false" customHeight="false" outlineLevel="0" collapsed="false">
      <c r="A5" s="4" t="n">
        <v>1</v>
      </c>
      <c r="B5" s="5" t="s">
        <v>15</v>
      </c>
      <c r="C5" s="4" t="n">
        <f aca="false">COUNTIF(Consolidado!$A$5:$A$57,A5)</f>
        <v>5</v>
      </c>
      <c r="D5" s="4" t="n">
        <f aca="false">COUNTIFS(Consolidado!$A$5:$A$57,A5,Consolidado!$I$5:$I$57,"LP")</f>
        <v>1</v>
      </c>
      <c r="E5" s="4" t="n">
        <f aca="false">COUNTIFS(Consolidado!$A$5:$A$57,A5,Consolidado!$I$5:$I$57,"L")</f>
        <v>4</v>
      </c>
      <c r="F5" s="4" t="n">
        <f aca="false">COUNTIFS(Consolidado!$A$5:$A$57,A5,Consolidado!$I$5:$I$57,"Por definir")</f>
        <v>0</v>
      </c>
      <c r="G5" s="4" t="n">
        <f aca="false">COUNTIFS(Consolidado!$A$5:$A$57,A5,Consolidado!$I$5:$I$57,"No desarrollado")</f>
        <v>0</v>
      </c>
      <c r="H5" s="4" t="n">
        <f aca="false">COUNTIFS(Consolidado!$A$5:$A$57,A5,Consolidado!$P$5:$P$57,"Alta")</f>
        <v>0</v>
      </c>
      <c r="I5" s="4" t="n">
        <f aca="false">COUNTIFS(Consolidado!$A$5:$A$57,A5,Consolidado!$P$5:$P$57,"Media")</f>
        <v>3</v>
      </c>
      <c r="J5" s="4" t="n">
        <f aca="false">COUNTIFS(Consolidado!$A$5:$A$57,A5,Consolidado!$P$5:$P$57,"Baja")</f>
        <v>2</v>
      </c>
      <c r="K5" s="4" t="n">
        <f aca="false">SUMIFS(Consolidado!$J$5:$J$57,Consolidado!$A$5:$A$57,A5)</f>
        <v>24</v>
      </c>
      <c r="L5" s="4" t="n">
        <f aca="false">SUMIFS(Consolidado!$K$5:$K$57,Consolidado!$A$5:$A$57,A5)</f>
        <v>8</v>
      </c>
      <c r="M5" s="4" t="n">
        <f aca="false">COUNTIFS(Consolidado!$A$5:$A$57,A5,Consolidado!$G$5:$G$57,"Sin documentos registrados")</f>
        <v>1</v>
      </c>
    </row>
    <row r="6" customFormat="false" ht="15" hidden="false" customHeight="false" outlineLevel="0" collapsed="false">
      <c r="A6" s="4" t="n">
        <v>2</v>
      </c>
      <c r="B6" s="5" t="s">
        <v>16</v>
      </c>
      <c r="C6" s="4" t="n">
        <f aca="false">COUNTIF(Consolidado!$A$5:$A$57,A6)</f>
        <v>7</v>
      </c>
      <c r="D6" s="4" t="n">
        <f aca="false">COUNTIFS(Consolidado!$A$5:$A$57,A6,Consolidado!$I$5:$I$57,"LP")</f>
        <v>0</v>
      </c>
      <c r="E6" s="4" t="n">
        <f aca="false">COUNTIFS(Consolidado!$A$5:$A$57,A6,Consolidado!$I$5:$I$57,"L")</f>
        <v>4</v>
      </c>
      <c r="F6" s="4" t="n">
        <f aca="false">COUNTIFS(Consolidado!$A$5:$A$57,A6,Consolidado!$I$5:$I$57,"Por definir")</f>
        <v>3</v>
      </c>
      <c r="G6" s="4" t="n">
        <f aca="false">COUNTIFS(Consolidado!$A$5:$A$57,A6,Consolidado!$I$5:$I$57,"No desarrollado")</f>
        <v>0</v>
      </c>
      <c r="H6" s="4" t="n">
        <f aca="false">COUNTIFS(Consolidado!$A$5:$A$57,A6,Consolidado!$P$5:$P$57,"Alta")</f>
        <v>3</v>
      </c>
      <c r="I6" s="4" t="n">
        <f aca="false">COUNTIFS(Consolidado!$A$5:$A$57,A6,Consolidado!$P$5:$P$57,"Media")</f>
        <v>1</v>
      </c>
      <c r="J6" s="4" t="n">
        <f aca="false">COUNTIFS(Consolidado!$A$5:$A$57,A6,Consolidado!$P$5:$P$57,"Baja")</f>
        <v>3</v>
      </c>
      <c r="K6" s="4" t="n">
        <f aca="false">SUMIFS(Consolidado!$J$5:$J$57,Consolidado!$A$5:$A$57,A6)</f>
        <v>33</v>
      </c>
      <c r="L6" s="4" t="n">
        <f aca="false">SUMIFS(Consolidado!$K$5:$K$57,Consolidado!$A$5:$A$57,A6)</f>
        <v>0</v>
      </c>
      <c r="M6" s="4" t="n">
        <f aca="false">COUNTIFS(Consolidado!$A$5:$A$57,A6,Consolidado!$G$5:$G$57,"Sin documentos registrados")</f>
        <v>5</v>
      </c>
    </row>
    <row r="7" customFormat="false" ht="22.35" hidden="false" customHeight="false" outlineLevel="0" collapsed="false">
      <c r="A7" s="4" t="n">
        <v>3</v>
      </c>
      <c r="B7" s="5" t="s">
        <v>17</v>
      </c>
      <c r="C7" s="4" t="n">
        <f aca="false">COUNTIF(Consolidado!$A$5:$A$57,A7)</f>
        <v>7</v>
      </c>
      <c r="D7" s="4" t="n">
        <f aca="false">COUNTIFS(Consolidado!$A$5:$A$57,A7,Consolidado!$I$5:$I$57,"LP")</f>
        <v>0</v>
      </c>
      <c r="E7" s="4" t="n">
        <f aca="false">COUNTIFS(Consolidado!$A$5:$A$57,A7,Consolidado!$I$5:$I$57,"L")</f>
        <v>7</v>
      </c>
      <c r="F7" s="4" t="n">
        <f aca="false">COUNTIFS(Consolidado!$A$5:$A$57,A7,Consolidado!$I$5:$I$57,"Por definir")</f>
        <v>0</v>
      </c>
      <c r="G7" s="4" t="n">
        <f aca="false">COUNTIFS(Consolidado!$A$5:$A$57,A7,Consolidado!$I$5:$I$57,"No desarrollado")</f>
        <v>0</v>
      </c>
      <c r="H7" s="4" t="n">
        <f aca="false">COUNTIFS(Consolidado!$A$5:$A$57,A7,Consolidado!$P$5:$P$57,"Alta")</f>
        <v>0</v>
      </c>
      <c r="I7" s="4" t="n">
        <f aca="false">COUNTIFS(Consolidado!$A$5:$A$57,A7,Consolidado!$P$5:$P$57,"Media")</f>
        <v>3</v>
      </c>
      <c r="J7" s="4" t="n">
        <f aca="false">COUNTIFS(Consolidado!$A$5:$A$57,A7,Consolidado!$P$5:$P$57,"Baja")</f>
        <v>4</v>
      </c>
      <c r="K7" s="4" t="n">
        <f aca="false">SUMIFS(Consolidado!$J$5:$J$57,Consolidado!$A$5:$A$57,A7)</f>
        <v>37</v>
      </c>
      <c r="L7" s="4" t="n">
        <f aca="false">SUMIFS(Consolidado!$K$5:$K$57,Consolidado!$A$5:$A$57,A7)</f>
        <v>0</v>
      </c>
      <c r="M7" s="4" t="n">
        <f aca="false">COUNTIFS(Consolidado!$A$5:$A$57,A7,Consolidado!$G$5:$G$57,"Sin documentos registrados")</f>
        <v>2</v>
      </c>
    </row>
    <row r="8" customFormat="false" ht="15" hidden="false" customHeight="false" outlineLevel="0" collapsed="false">
      <c r="A8" s="4" t="n">
        <v>4</v>
      </c>
      <c r="B8" s="5" t="s">
        <v>18</v>
      </c>
      <c r="C8" s="4" t="n">
        <f aca="false">COUNTIF(Consolidado!$A$5:$A$57,A8)</f>
        <v>6</v>
      </c>
      <c r="D8" s="4" t="n">
        <f aca="false">COUNTIFS(Consolidado!$A$5:$A$57,A8,Consolidado!$I$5:$I$57,"LP")</f>
        <v>0</v>
      </c>
      <c r="E8" s="4" t="n">
        <f aca="false">COUNTIFS(Consolidado!$A$5:$A$57,A8,Consolidado!$I$5:$I$57,"L")</f>
        <v>3</v>
      </c>
      <c r="F8" s="4" t="n">
        <f aca="false">COUNTIFS(Consolidado!$A$5:$A$57,A8,Consolidado!$I$5:$I$57,"Por definir")</f>
        <v>3</v>
      </c>
      <c r="G8" s="4" t="n">
        <f aca="false">COUNTIFS(Consolidado!$A$5:$A$57,A8,Consolidado!$I$5:$I$57,"No desarrollado")</f>
        <v>0</v>
      </c>
      <c r="H8" s="4" t="n">
        <f aca="false">COUNTIFS(Consolidado!$A$5:$A$57,A8,Consolidado!$P$5:$P$57,"Alta")</f>
        <v>3</v>
      </c>
      <c r="I8" s="4" t="n">
        <f aca="false">COUNTIFS(Consolidado!$A$5:$A$57,A8,Consolidado!$P$5:$P$57,"Media")</f>
        <v>2</v>
      </c>
      <c r="J8" s="4" t="n">
        <f aca="false">COUNTIFS(Consolidado!$A$5:$A$57,A8,Consolidado!$P$5:$P$57,"Baja")</f>
        <v>1</v>
      </c>
      <c r="K8" s="4" t="n">
        <f aca="false">SUMIFS(Consolidado!$J$5:$J$57,Consolidado!$A$5:$A$57,A8)</f>
        <v>24</v>
      </c>
      <c r="L8" s="4" t="n">
        <f aca="false">SUMIFS(Consolidado!$K$5:$K$57,Consolidado!$A$5:$A$57,A8)</f>
        <v>0</v>
      </c>
      <c r="M8" s="4" t="n">
        <f aca="false">COUNTIFS(Consolidado!$A$5:$A$57,A8,Consolidado!$G$5:$G$57,"Sin documentos registrados")</f>
        <v>1</v>
      </c>
    </row>
    <row r="9" customFormat="false" ht="15" hidden="false" customHeight="false" outlineLevel="0" collapsed="false">
      <c r="A9" s="4" t="n">
        <v>5</v>
      </c>
      <c r="B9" s="5" t="s">
        <v>19</v>
      </c>
      <c r="C9" s="4" t="n">
        <f aca="false">COUNTIF(Consolidado!$A$5:$A$57,A9)</f>
        <v>6</v>
      </c>
      <c r="D9" s="4" t="n">
        <f aca="false">COUNTIFS(Consolidado!$A$5:$A$57,A9,Consolidado!$I$5:$I$57,"LP")</f>
        <v>0</v>
      </c>
      <c r="E9" s="4" t="n">
        <f aca="false">COUNTIFS(Consolidado!$A$5:$A$57,A9,Consolidado!$I$5:$I$57,"L")</f>
        <v>5</v>
      </c>
      <c r="F9" s="4" t="n">
        <f aca="false">COUNTIFS(Consolidado!$A$5:$A$57,A9,Consolidado!$I$5:$I$57,"Por definir")</f>
        <v>1</v>
      </c>
      <c r="G9" s="4" t="n">
        <f aca="false">COUNTIFS(Consolidado!$A$5:$A$57,A9,Consolidado!$I$5:$I$57,"No desarrollado")</f>
        <v>0</v>
      </c>
      <c r="H9" s="4" t="n">
        <f aca="false">COUNTIFS(Consolidado!$A$5:$A$57,A9,Consolidado!$P$5:$P$57,"Alta")</f>
        <v>1</v>
      </c>
      <c r="I9" s="4" t="n">
        <f aca="false">COUNTIFS(Consolidado!$A$5:$A$57,A9,Consolidado!$P$5:$P$57,"Media")</f>
        <v>4</v>
      </c>
      <c r="J9" s="4" t="n">
        <f aca="false">COUNTIFS(Consolidado!$A$5:$A$57,A9,Consolidado!$P$5:$P$57,"Baja")</f>
        <v>1</v>
      </c>
      <c r="K9" s="4" t="n">
        <f aca="false">SUMIFS(Consolidado!$J$5:$J$57,Consolidado!$A$5:$A$57,A9)</f>
        <v>24</v>
      </c>
      <c r="L9" s="4" t="n">
        <f aca="false">SUMIFS(Consolidado!$K$5:$K$57,Consolidado!$A$5:$A$57,A9)</f>
        <v>0</v>
      </c>
      <c r="M9" s="4" t="n">
        <f aca="false">COUNTIFS(Consolidado!$A$5:$A$57,A9,Consolidado!$G$5:$G$57,"Sin documentos registrados")</f>
        <v>3</v>
      </c>
    </row>
    <row r="10" customFormat="false" ht="15" hidden="false" customHeight="false" outlineLevel="0" collapsed="false">
      <c r="A10" s="4" t="n">
        <v>6</v>
      </c>
      <c r="B10" s="5" t="s">
        <v>20</v>
      </c>
      <c r="C10" s="4" t="n">
        <f aca="false">COUNTIF(Consolidado!$A$5:$A$57,A10)</f>
        <v>5</v>
      </c>
      <c r="D10" s="4" t="n">
        <f aca="false">COUNTIFS(Consolidado!$A$5:$A$57,A10,Consolidado!$I$5:$I$57,"LP")</f>
        <v>0</v>
      </c>
      <c r="E10" s="4" t="n">
        <f aca="false">COUNTIFS(Consolidado!$A$5:$A$57,A10,Consolidado!$I$5:$I$57,"L")</f>
        <v>1</v>
      </c>
      <c r="F10" s="4" t="n">
        <f aca="false">COUNTIFS(Consolidado!$A$5:$A$57,A10,Consolidado!$I$5:$I$57,"Por definir")</f>
        <v>4</v>
      </c>
      <c r="G10" s="4" t="n">
        <f aca="false">COUNTIFS(Consolidado!$A$5:$A$57,A10,Consolidado!$I$5:$I$57,"No desarrollado")</f>
        <v>0</v>
      </c>
      <c r="H10" s="4" t="n">
        <f aca="false">COUNTIFS(Consolidado!$A$5:$A$57,A10,Consolidado!$P$5:$P$57,"Alta")</f>
        <v>4</v>
      </c>
      <c r="I10" s="4" t="n">
        <f aca="false">COUNTIFS(Consolidado!$A$5:$A$57,A10,Consolidado!$P$5:$P$57,"Media")</f>
        <v>1</v>
      </c>
      <c r="J10" s="4" t="n">
        <f aca="false">COUNTIFS(Consolidado!$A$5:$A$57,A10,Consolidado!$P$5:$P$57,"Baja")</f>
        <v>0</v>
      </c>
      <c r="K10" s="4" t="n">
        <f aca="false">SUMIFS(Consolidado!$J$5:$J$57,Consolidado!$A$5:$A$57,A10)</f>
        <v>15</v>
      </c>
      <c r="L10" s="4" t="n">
        <f aca="false">SUMIFS(Consolidado!$K$5:$K$57,Consolidado!$A$5:$A$57,A10)</f>
        <v>0</v>
      </c>
      <c r="M10" s="4" t="n">
        <f aca="false">COUNTIFS(Consolidado!$A$5:$A$57,A10,Consolidado!$G$5:$G$57,"Sin documentos registrados")</f>
        <v>1</v>
      </c>
    </row>
    <row r="11" customFormat="false" ht="15" hidden="false" customHeight="false" outlineLevel="0" collapsed="false">
      <c r="A11" s="4" t="n">
        <v>7</v>
      </c>
      <c r="B11" s="5" t="s">
        <v>21</v>
      </c>
      <c r="C11" s="4" t="n">
        <f aca="false">COUNTIF(Consolidado!$A$5:$A$57,A11)</f>
        <v>4</v>
      </c>
      <c r="D11" s="4" t="n">
        <f aca="false">COUNTIFS(Consolidado!$A$5:$A$57,A11,Consolidado!$I$5:$I$57,"LP")</f>
        <v>0</v>
      </c>
      <c r="E11" s="4" t="n">
        <f aca="false">COUNTIFS(Consolidado!$A$5:$A$57,A11,Consolidado!$I$5:$I$57,"L")</f>
        <v>2</v>
      </c>
      <c r="F11" s="4" t="n">
        <f aca="false">COUNTIFS(Consolidado!$A$5:$A$57,A11,Consolidado!$I$5:$I$57,"Por definir")</f>
        <v>2</v>
      </c>
      <c r="G11" s="4" t="n">
        <f aca="false">COUNTIFS(Consolidado!$A$5:$A$57,A11,Consolidado!$I$5:$I$57,"No desarrollado")</f>
        <v>0</v>
      </c>
      <c r="H11" s="4" t="n">
        <f aca="false">COUNTIFS(Consolidado!$A$5:$A$57,A11,Consolidado!$P$5:$P$57,"Alta")</f>
        <v>2</v>
      </c>
      <c r="I11" s="4" t="n">
        <f aca="false">COUNTIFS(Consolidado!$A$5:$A$57,A11,Consolidado!$P$5:$P$57,"Media")</f>
        <v>0</v>
      </c>
      <c r="J11" s="4" t="n">
        <f aca="false">COUNTIFS(Consolidado!$A$5:$A$57,A11,Consolidado!$P$5:$P$57,"Baja")</f>
        <v>2</v>
      </c>
      <c r="K11" s="4" t="n">
        <f aca="false">SUMIFS(Consolidado!$J$5:$J$57,Consolidado!$A$5:$A$57,A11)</f>
        <v>16</v>
      </c>
      <c r="L11" s="4" t="n">
        <f aca="false">SUMIFS(Consolidado!$K$5:$K$57,Consolidado!$A$5:$A$57,A11)</f>
        <v>0</v>
      </c>
      <c r="M11" s="4" t="n">
        <f aca="false">COUNTIFS(Consolidado!$A$5:$A$57,A11,Consolidado!$G$5:$G$57,"Sin documentos registrados")</f>
        <v>0</v>
      </c>
    </row>
    <row r="12" customFormat="false" ht="15" hidden="false" customHeight="false" outlineLevel="0" collapsed="false">
      <c r="A12" s="4" t="n">
        <v>8</v>
      </c>
      <c r="B12" s="5" t="s">
        <v>22</v>
      </c>
      <c r="C12" s="4" t="n">
        <f aca="false">COUNTIF(Consolidado!$A$5:$A$57,A12)</f>
        <v>6</v>
      </c>
      <c r="D12" s="4" t="n">
        <f aca="false">COUNTIFS(Consolidado!$A$5:$A$57,A12,Consolidado!$I$5:$I$57,"LP")</f>
        <v>0</v>
      </c>
      <c r="E12" s="4" t="n">
        <f aca="false">COUNTIFS(Consolidado!$A$5:$A$57,A12,Consolidado!$I$5:$I$57,"L")</f>
        <v>4</v>
      </c>
      <c r="F12" s="4" t="n">
        <f aca="false">COUNTIFS(Consolidado!$A$5:$A$57,A12,Consolidado!$I$5:$I$57,"Por definir")</f>
        <v>2</v>
      </c>
      <c r="G12" s="4" t="n">
        <f aca="false">COUNTIFS(Consolidado!$A$5:$A$57,A12,Consolidado!$I$5:$I$57,"No desarrollado")</f>
        <v>0</v>
      </c>
      <c r="H12" s="4" t="n">
        <f aca="false">COUNTIFS(Consolidado!$A$5:$A$57,A12,Consolidado!$P$5:$P$57,"Alta")</f>
        <v>2</v>
      </c>
      <c r="I12" s="4" t="n">
        <f aca="false">COUNTIFS(Consolidado!$A$5:$A$57,A12,Consolidado!$P$5:$P$57,"Media")</f>
        <v>3</v>
      </c>
      <c r="J12" s="4" t="n">
        <f aca="false">COUNTIFS(Consolidado!$A$5:$A$57,A12,Consolidado!$P$5:$P$57,"Baja")</f>
        <v>1</v>
      </c>
      <c r="K12" s="4" t="n">
        <f aca="false">SUMIFS(Consolidado!$J$5:$J$57,Consolidado!$A$5:$A$57,A12)</f>
        <v>18</v>
      </c>
      <c r="L12" s="4" t="n">
        <f aca="false">SUMIFS(Consolidado!$K$5:$K$57,Consolidado!$A$5:$A$57,A12)</f>
        <v>0</v>
      </c>
      <c r="M12" s="4" t="n">
        <f aca="false">COUNTIFS(Consolidado!$A$5:$A$57,A12,Consolidado!$G$5:$G$57,"Sin documentos registrados")</f>
        <v>0</v>
      </c>
    </row>
    <row r="13" customFormat="false" ht="15" hidden="false" customHeight="false" outlineLevel="0" collapsed="false">
      <c r="A13" s="4" t="n">
        <v>9</v>
      </c>
      <c r="B13" s="5" t="s">
        <v>23</v>
      </c>
      <c r="C13" s="4" t="n">
        <f aca="false">COUNTIF(Consolidado!$A$5:$A$57,A13)</f>
        <v>3</v>
      </c>
      <c r="D13" s="4" t="n">
        <f aca="false">COUNTIFS(Consolidado!$A$5:$A$57,A13,Consolidado!$I$5:$I$57,"LP")</f>
        <v>0</v>
      </c>
      <c r="E13" s="4" t="n">
        <f aca="false">COUNTIFS(Consolidado!$A$5:$A$57,A13,Consolidado!$I$5:$I$57,"L")</f>
        <v>0</v>
      </c>
      <c r="F13" s="4" t="n">
        <f aca="false">COUNTIFS(Consolidado!$A$5:$A$57,A13,Consolidado!$I$5:$I$57,"Por definir")</f>
        <v>0</v>
      </c>
      <c r="G13" s="4" t="n">
        <f aca="false">COUNTIFS(Consolidado!$A$5:$A$57,A13,Consolidado!$I$5:$I$57,"No desarrollado")</f>
        <v>3</v>
      </c>
      <c r="H13" s="4" t="n">
        <f aca="false">COUNTIFS(Consolidado!$A$5:$A$57,A13,Consolidado!$P$5:$P$57,"Alta")</f>
        <v>3</v>
      </c>
      <c r="I13" s="4" t="n">
        <f aca="false">COUNTIFS(Consolidado!$A$5:$A$57,A13,Consolidado!$P$5:$P$57,"Media")</f>
        <v>0</v>
      </c>
      <c r="J13" s="4" t="n">
        <f aca="false">COUNTIFS(Consolidado!$A$5:$A$57,A13,Consolidado!$P$5:$P$57,"Baja")</f>
        <v>0</v>
      </c>
      <c r="K13" s="4" t="n">
        <f aca="false">SUMIFS(Consolidado!$J$5:$J$57,Consolidado!$A$5:$A$57,A13)</f>
        <v>0</v>
      </c>
      <c r="L13" s="4" t="n">
        <f aca="false">SUMIFS(Consolidado!$K$5:$K$57,Consolidado!$A$5:$A$57,A13)</f>
        <v>0</v>
      </c>
      <c r="M13" s="4" t="n">
        <f aca="false">COUNTIFS(Consolidado!$A$5:$A$57,A13,Consolidado!$G$5:$G$57,"Sin documentos registrados")</f>
        <v>0</v>
      </c>
    </row>
    <row r="14" customFormat="false" ht="15" hidden="false" customHeight="false" outlineLevel="0" collapsed="false">
      <c r="A14" s="4" t="n">
        <v>10</v>
      </c>
      <c r="B14" s="5" t="s">
        <v>24</v>
      </c>
      <c r="C14" s="4" t="n">
        <f aca="false">COUNTIF(Consolidado!$A$5:$A$57,A14)</f>
        <v>4</v>
      </c>
      <c r="D14" s="4" t="n">
        <f aca="false">COUNTIFS(Consolidado!$A$5:$A$57,A14,Consolidado!$I$5:$I$57,"LP")</f>
        <v>0</v>
      </c>
      <c r="E14" s="4" t="n">
        <f aca="false">COUNTIFS(Consolidado!$A$5:$A$57,A14,Consolidado!$I$5:$I$57,"L")</f>
        <v>0</v>
      </c>
      <c r="F14" s="4" t="n">
        <f aca="false">COUNTIFS(Consolidado!$A$5:$A$57,A14,Consolidado!$I$5:$I$57,"Por definir")</f>
        <v>0</v>
      </c>
      <c r="G14" s="4" t="n">
        <f aca="false">COUNTIFS(Consolidado!$A$5:$A$57,A14,Consolidado!$I$5:$I$57,"No desarrollado")</f>
        <v>4</v>
      </c>
      <c r="H14" s="4" t="n">
        <f aca="false">COUNTIFS(Consolidado!$A$5:$A$57,A14,Consolidado!$P$5:$P$57,"Alta")</f>
        <v>4</v>
      </c>
      <c r="I14" s="4" t="n">
        <f aca="false">COUNTIFS(Consolidado!$A$5:$A$57,A14,Consolidado!$P$5:$P$57,"Media")</f>
        <v>0</v>
      </c>
      <c r="J14" s="4" t="n">
        <f aca="false">COUNTIFS(Consolidado!$A$5:$A$57,A14,Consolidado!$P$5:$P$57,"Baja")</f>
        <v>0</v>
      </c>
      <c r="K14" s="4" t="n">
        <f aca="false">SUMIFS(Consolidado!$J$5:$J$57,Consolidado!$A$5:$A$57,A14)</f>
        <v>0</v>
      </c>
      <c r="L14" s="4" t="n">
        <f aca="false">SUMIFS(Consolidado!$K$5:$K$57,Consolidado!$A$5:$A$57,A14)</f>
        <v>0</v>
      </c>
      <c r="M14" s="4" t="n">
        <f aca="false">COUNTIFS(Consolidado!$A$5:$A$57,A14,Consolidado!$G$5:$G$57,"Sin documentos registrados")</f>
        <v>0</v>
      </c>
    </row>
    <row r="15" customFormat="false" ht="15" hidden="false" customHeight="false" outlineLevel="0" collapsed="false">
      <c r="A15" s="6"/>
      <c r="B15" s="7" t="s">
        <v>25</v>
      </c>
      <c r="C15" s="6" t="n">
        <f aca="false">SUM(C5:C14)</f>
        <v>53</v>
      </c>
      <c r="D15" s="6" t="n">
        <f aca="false">SUM(D5:D14)</f>
        <v>1</v>
      </c>
      <c r="E15" s="6" t="n">
        <f aca="false">SUM(E5:E14)</f>
        <v>30</v>
      </c>
      <c r="F15" s="6" t="n">
        <f aca="false">SUM(F5:F14)</f>
        <v>15</v>
      </c>
      <c r="G15" s="6" t="n">
        <f aca="false">SUM(G5:G14)</f>
        <v>7</v>
      </c>
      <c r="H15" s="6" t="n">
        <f aca="false">SUM(H5:H14)</f>
        <v>22</v>
      </c>
      <c r="I15" s="6" t="n">
        <f aca="false">SUM(I5:I14)</f>
        <v>17</v>
      </c>
      <c r="J15" s="6" t="n">
        <f aca="false">SUM(J5:J14)</f>
        <v>14</v>
      </c>
      <c r="K15" s="6" t="n">
        <f aca="false">SUM(K5:K14)</f>
        <v>191</v>
      </c>
      <c r="L15" s="6" t="n">
        <f aca="false">SUM(L5:L14)</f>
        <v>8</v>
      </c>
      <c r="M15" s="6" t="n">
        <f aca="false">SUM(M5:M14)</f>
        <v>13</v>
      </c>
    </row>
    <row r="17" customFormat="false" ht="15" hidden="false" customHeight="false" outlineLevel="0" collapsed="false">
      <c r="A17" s="8" t="s">
        <v>26</v>
      </c>
    </row>
    <row r="18" customFormat="false" ht="15" hidden="false" customHeight="true" outlineLevel="0" collapsed="false">
      <c r="A18" s="9" t="s">
        <v>27</v>
      </c>
      <c r="B18" s="10" t="s">
        <v>28</v>
      </c>
      <c r="C18" s="10"/>
      <c r="D18" s="10"/>
      <c r="E18" s="10"/>
      <c r="F18" s="10"/>
      <c r="G18" s="10"/>
      <c r="H18" s="10"/>
      <c r="I18" s="10"/>
      <c r="J18" s="10"/>
      <c r="K18" s="10"/>
      <c r="L18" s="10"/>
      <c r="M18" s="10"/>
    </row>
    <row r="19" customFormat="false" ht="15" hidden="false" customHeight="true" outlineLevel="0" collapsed="false">
      <c r="A19" s="9" t="s">
        <v>27</v>
      </c>
      <c r="B19" s="10" t="s">
        <v>29</v>
      </c>
      <c r="C19" s="10"/>
      <c r="D19" s="10"/>
      <c r="E19" s="10"/>
      <c r="F19" s="10"/>
      <c r="G19" s="10"/>
      <c r="H19" s="10"/>
      <c r="I19" s="10"/>
      <c r="J19" s="10"/>
      <c r="K19" s="10"/>
      <c r="L19" s="10"/>
      <c r="M19" s="10"/>
    </row>
    <row r="20" customFormat="false" ht="15" hidden="false" customHeight="true" outlineLevel="0" collapsed="false">
      <c r="A20" s="9" t="s">
        <v>27</v>
      </c>
      <c r="B20" s="10" t="s">
        <v>30</v>
      </c>
      <c r="C20" s="10"/>
      <c r="D20" s="10"/>
      <c r="E20" s="10"/>
      <c r="F20" s="10"/>
      <c r="G20" s="10"/>
      <c r="H20" s="10"/>
      <c r="I20" s="10"/>
      <c r="J20" s="10"/>
      <c r="K20" s="10"/>
      <c r="L20" s="10"/>
      <c r="M20" s="10"/>
    </row>
    <row r="21" customFormat="false" ht="15" hidden="false" customHeight="true" outlineLevel="0" collapsed="false">
      <c r="A21" s="9" t="s">
        <v>27</v>
      </c>
      <c r="B21" s="10" t="s">
        <v>31</v>
      </c>
      <c r="C21" s="10"/>
      <c r="D21" s="10"/>
      <c r="E21" s="10"/>
      <c r="F21" s="10"/>
      <c r="G21" s="10"/>
      <c r="H21" s="10"/>
      <c r="I21" s="10"/>
      <c r="J21" s="10"/>
      <c r="K21" s="10"/>
      <c r="L21" s="10"/>
      <c r="M21" s="10"/>
    </row>
    <row r="22" customFormat="false" ht="15" hidden="false" customHeight="true" outlineLevel="0" collapsed="false">
      <c r="A22" s="9" t="s">
        <v>27</v>
      </c>
      <c r="B22" s="10" t="s">
        <v>32</v>
      </c>
      <c r="C22" s="10"/>
      <c r="D22" s="10"/>
      <c r="E22" s="10"/>
      <c r="F22" s="10"/>
      <c r="G22" s="10"/>
      <c r="H22" s="10"/>
      <c r="I22" s="10"/>
      <c r="J22" s="10"/>
      <c r="K22" s="10"/>
      <c r="L22" s="10"/>
      <c r="M22" s="10"/>
    </row>
    <row r="23" customFormat="false" ht="15" hidden="false" customHeight="true" outlineLevel="0" collapsed="false">
      <c r="A23" s="9" t="s">
        <v>27</v>
      </c>
      <c r="B23" s="10" t="s">
        <v>33</v>
      </c>
      <c r="C23" s="10"/>
      <c r="D23" s="10"/>
      <c r="E23" s="10"/>
      <c r="F23" s="10"/>
      <c r="G23" s="10"/>
      <c r="H23" s="10"/>
      <c r="I23" s="10"/>
      <c r="J23" s="10"/>
      <c r="K23" s="10"/>
      <c r="L23" s="10"/>
      <c r="M23" s="10"/>
    </row>
    <row r="25" customFormat="false" ht="15" hidden="false" customHeight="false" outlineLevel="0" collapsed="false">
      <c r="A25" s="8" t="s">
        <v>34</v>
      </c>
    </row>
    <row r="26" customFormat="false" ht="15" hidden="false" customHeight="true" outlineLevel="0" collapsed="false">
      <c r="A26" s="9" t="s">
        <v>27</v>
      </c>
      <c r="B26" s="10" t="s">
        <v>35</v>
      </c>
      <c r="C26" s="10"/>
      <c r="D26" s="10"/>
      <c r="E26" s="10"/>
      <c r="F26" s="10"/>
      <c r="G26" s="10"/>
      <c r="H26" s="10"/>
      <c r="I26" s="10"/>
      <c r="J26" s="10"/>
      <c r="K26" s="10"/>
      <c r="L26" s="10"/>
      <c r="M26" s="10"/>
    </row>
    <row r="27" customFormat="false" ht="15" hidden="false" customHeight="true" outlineLevel="0" collapsed="false">
      <c r="A27" s="9" t="s">
        <v>27</v>
      </c>
      <c r="B27" s="10" t="s">
        <v>36</v>
      </c>
      <c r="C27" s="10"/>
      <c r="D27" s="10"/>
      <c r="E27" s="10"/>
      <c r="F27" s="10"/>
      <c r="G27" s="10"/>
      <c r="H27" s="10"/>
      <c r="I27" s="10"/>
      <c r="J27" s="10"/>
      <c r="K27" s="10"/>
      <c r="L27" s="10"/>
      <c r="M27" s="10"/>
    </row>
    <row r="28" customFormat="false" ht="15" hidden="false" customHeight="true" outlineLevel="0" collapsed="false">
      <c r="A28" s="9" t="s">
        <v>27</v>
      </c>
      <c r="B28" s="10" t="s">
        <v>37</v>
      </c>
      <c r="C28" s="10"/>
      <c r="D28" s="10"/>
      <c r="E28" s="10"/>
      <c r="F28" s="10"/>
      <c r="G28" s="10"/>
      <c r="H28" s="10"/>
      <c r="I28" s="10"/>
      <c r="J28" s="10"/>
      <c r="K28" s="10"/>
      <c r="L28" s="10"/>
      <c r="M28" s="10"/>
    </row>
    <row r="29" customFormat="false" ht="15" hidden="false" customHeight="true" outlineLevel="0" collapsed="false">
      <c r="A29" s="9" t="s">
        <v>27</v>
      </c>
      <c r="B29" s="10" t="s">
        <v>38</v>
      </c>
      <c r="C29" s="10"/>
      <c r="D29" s="10"/>
      <c r="E29" s="10"/>
      <c r="F29" s="10"/>
      <c r="G29" s="10"/>
      <c r="H29" s="10"/>
      <c r="I29" s="10"/>
      <c r="J29" s="10"/>
      <c r="K29" s="10"/>
      <c r="L29" s="10"/>
      <c r="M29" s="10"/>
    </row>
  </sheetData>
  <mergeCells count="10">
    <mergeCell ref="B18:M18"/>
    <mergeCell ref="B19:M19"/>
    <mergeCell ref="B20:M20"/>
    <mergeCell ref="B21:M21"/>
    <mergeCell ref="B22:M22"/>
    <mergeCell ref="B23:M23"/>
    <mergeCell ref="B26:M26"/>
    <mergeCell ref="B27:M27"/>
    <mergeCell ref="B28:M28"/>
    <mergeCell ref="B29:M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A24B"/>
    <pageSetUpPr fitToPage="false"/>
  </sheetPr>
  <dimension ref="A1:P5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2"/>
    <col collapsed="false" customWidth="true" hidden="false" outlineLevel="0" max="3" min="3" style="0" width="8"/>
    <col collapsed="false" customWidth="true" hidden="false" outlineLevel="0" max="4" min="4" style="0" width="26"/>
    <col collapsed="false" customWidth="true" hidden="false" outlineLevel="0" max="5" min="5" style="0" width="16"/>
    <col collapsed="false" customWidth="true" hidden="false" outlineLevel="0" max="6" min="6" style="0" width="20"/>
    <col collapsed="false" customWidth="true" hidden="false" outlineLevel="0" max="7" min="7" style="0" width="34"/>
    <col collapsed="false" customWidth="true" hidden="false" outlineLevel="0" max="8" min="8" style="0" width="22"/>
    <col collapsed="false" customWidth="true" hidden="false" outlineLevel="0" max="9" min="9" style="0" width="13"/>
    <col collapsed="false" customWidth="true" hidden="false" outlineLevel="0" max="10" min="10" style="0" width="11"/>
    <col collapsed="false" customWidth="true" hidden="false" outlineLevel="0" max="11" min="11" style="0" width="9"/>
    <col collapsed="false" customWidth="true" hidden="false" outlineLevel="0" max="12" min="12" style="0" width="16"/>
    <col collapsed="false" customWidth="true" hidden="false" outlineLevel="0" max="13" min="13" style="0" width="46"/>
    <col collapsed="false" customWidth="true" hidden="false" outlineLevel="0" max="14" min="14" style="0" width="40"/>
    <col collapsed="false" customWidth="true" hidden="false" outlineLevel="0" max="15" min="15" style="0" width="62"/>
    <col collapsed="false" customWidth="true" hidden="false" outlineLevel="0" max="16" min="16" style="0" width="10"/>
  </cols>
  <sheetData>
    <row r="1" customFormat="false" ht="17.35" hidden="false" customHeight="false" outlineLevel="0" collapsed="false">
      <c r="A1" s="11" t="s">
        <v>39</v>
      </c>
    </row>
    <row r="2" customFormat="false" ht="27.75" hidden="false" customHeight="true" outlineLevel="0" collapsed="false">
      <c r="A2" s="12" t="s">
        <v>40</v>
      </c>
      <c r="B2" s="12"/>
      <c r="C2" s="12"/>
      <c r="D2" s="12"/>
      <c r="E2" s="12"/>
      <c r="F2" s="12"/>
      <c r="G2" s="12"/>
      <c r="H2" s="12"/>
      <c r="I2" s="12"/>
      <c r="J2" s="12"/>
      <c r="K2" s="12"/>
      <c r="L2" s="12"/>
      <c r="M2" s="12"/>
      <c r="N2" s="12"/>
      <c r="O2" s="12"/>
      <c r="P2" s="12"/>
    </row>
    <row r="4" customFormat="false" ht="43.5" hidden="false" customHeight="true" outlineLevel="0" collapsed="false">
      <c r="A4" s="3" t="s">
        <v>41</v>
      </c>
      <c r="B4" s="3" t="s">
        <v>3</v>
      </c>
      <c r="C4" s="3" t="s">
        <v>42</v>
      </c>
      <c r="D4" s="3" t="s">
        <v>43</v>
      </c>
      <c r="E4" s="3" t="s">
        <v>44</v>
      </c>
      <c r="F4" s="3" t="s">
        <v>45</v>
      </c>
      <c r="G4" s="3" t="s">
        <v>46</v>
      </c>
      <c r="H4" s="3" t="s">
        <v>47</v>
      </c>
      <c r="I4" s="3" t="s">
        <v>48</v>
      </c>
      <c r="J4" s="3" t="s">
        <v>49</v>
      </c>
      <c r="K4" s="3" t="s">
        <v>50</v>
      </c>
      <c r="L4" s="3" t="s">
        <v>51</v>
      </c>
      <c r="M4" s="3" t="s">
        <v>52</v>
      </c>
      <c r="N4" s="3" t="s">
        <v>53</v>
      </c>
      <c r="O4" s="13" t="s">
        <v>54</v>
      </c>
      <c r="P4" s="3" t="s">
        <v>55</v>
      </c>
    </row>
    <row r="5" customFormat="false" ht="43.25" hidden="false" customHeight="false" outlineLevel="0" collapsed="false">
      <c r="A5" s="4" t="n">
        <v>1</v>
      </c>
      <c r="B5" s="5" t="s">
        <v>15</v>
      </c>
      <c r="C5" s="4" t="s">
        <v>56</v>
      </c>
      <c r="D5" s="5" t="s">
        <v>57</v>
      </c>
      <c r="E5" s="5" t="s">
        <v>58</v>
      </c>
      <c r="F5" s="5" t="s">
        <v>59</v>
      </c>
      <c r="G5" s="5" t="s">
        <v>60</v>
      </c>
      <c r="H5" s="5" t="s">
        <v>59</v>
      </c>
      <c r="I5" s="4" t="s">
        <v>5</v>
      </c>
      <c r="J5" s="4" t="n">
        <v>5</v>
      </c>
      <c r="K5" s="4" t="n">
        <v>5</v>
      </c>
      <c r="L5" s="5" t="s">
        <v>59</v>
      </c>
      <c r="M5" s="5" t="s">
        <v>59</v>
      </c>
      <c r="N5" s="5" t="s">
        <v>61</v>
      </c>
      <c r="O5" s="14" t="s">
        <v>62</v>
      </c>
      <c r="P5" s="4" t="str">
        <f aca="false">IF(OR(I5="Por definir",I5="No desarrollado"),"Alta",IF(OR(L5&lt;&gt;"—",ISNUMBER(SEARCH("Pendiente",H5))),"Media","Baja"))</f>
        <v>Baja</v>
      </c>
    </row>
    <row r="6" customFormat="false" ht="32.8" hidden="false" customHeight="false" outlineLevel="0" collapsed="false">
      <c r="A6" s="4" t="n">
        <v>1</v>
      </c>
      <c r="B6" s="5" t="s">
        <v>15</v>
      </c>
      <c r="C6" s="4" t="s">
        <v>63</v>
      </c>
      <c r="D6" s="5" t="s">
        <v>64</v>
      </c>
      <c r="E6" s="5" t="s">
        <v>65</v>
      </c>
      <c r="F6" s="5" t="s">
        <v>59</v>
      </c>
      <c r="G6" s="5" t="s">
        <v>66</v>
      </c>
      <c r="H6" s="5" t="s">
        <v>67</v>
      </c>
      <c r="I6" s="4" t="s">
        <v>6</v>
      </c>
      <c r="J6" s="4" t="n">
        <v>1</v>
      </c>
      <c r="K6" s="4" t="n">
        <v>1</v>
      </c>
      <c r="L6" s="5" t="s">
        <v>59</v>
      </c>
      <c r="M6" s="5" t="s">
        <v>68</v>
      </c>
      <c r="N6" s="5" t="s">
        <v>69</v>
      </c>
      <c r="O6" s="14" t="s">
        <v>70</v>
      </c>
      <c r="P6" s="4" t="str">
        <f aca="false">IF(OR(I6="Por definir",I6="No desarrollado"),"Alta",IF(OR(L6&lt;&gt;"—",ISNUMBER(SEARCH("Pendiente",H6))),"Media","Baja"))</f>
        <v>Media</v>
      </c>
    </row>
    <row r="7" customFormat="false" ht="74.6" hidden="false" customHeight="false" outlineLevel="0" collapsed="false">
      <c r="A7" s="4" t="n">
        <v>1</v>
      </c>
      <c r="B7" s="5" t="s">
        <v>15</v>
      </c>
      <c r="C7" s="4" t="s">
        <v>71</v>
      </c>
      <c r="D7" s="5" t="s">
        <v>72</v>
      </c>
      <c r="E7" s="5" t="s">
        <v>73</v>
      </c>
      <c r="F7" s="5" t="s">
        <v>74</v>
      </c>
      <c r="G7" s="5" t="s">
        <v>75</v>
      </c>
      <c r="H7" s="5" t="s">
        <v>76</v>
      </c>
      <c r="I7" s="4" t="s">
        <v>6</v>
      </c>
      <c r="J7" s="4" t="n">
        <v>6</v>
      </c>
      <c r="K7" s="4" t="n">
        <v>0</v>
      </c>
      <c r="L7" s="5" t="s">
        <v>59</v>
      </c>
      <c r="M7" s="5" t="s">
        <v>77</v>
      </c>
      <c r="N7" s="5" t="s">
        <v>78</v>
      </c>
      <c r="O7" s="14" t="s">
        <v>79</v>
      </c>
      <c r="P7" s="4" t="str">
        <f aca="false">IF(OR(I7="Por definir",I7="No desarrollado"),"Alta",IF(OR(L7&lt;&gt;"—",ISNUMBER(SEARCH("Pendiente",H7))),"Media","Baja"))</f>
        <v>Baja</v>
      </c>
    </row>
    <row r="8" customFormat="false" ht="64.15" hidden="false" customHeight="false" outlineLevel="0" collapsed="false">
      <c r="A8" s="4" t="n">
        <v>1</v>
      </c>
      <c r="B8" s="5" t="s">
        <v>15</v>
      </c>
      <c r="C8" s="4" t="s">
        <v>80</v>
      </c>
      <c r="D8" s="5" t="s">
        <v>81</v>
      </c>
      <c r="E8" s="5" t="s">
        <v>82</v>
      </c>
      <c r="F8" s="5" t="s">
        <v>59</v>
      </c>
      <c r="G8" s="5" t="s">
        <v>83</v>
      </c>
      <c r="H8" s="5" t="s">
        <v>84</v>
      </c>
      <c r="I8" s="4" t="s">
        <v>6</v>
      </c>
      <c r="J8" s="4" t="n">
        <v>7</v>
      </c>
      <c r="K8" s="4" t="n">
        <v>2</v>
      </c>
      <c r="L8" s="5" t="s">
        <v>59</v>
      </c>
      <c r="M8" s="5" t="s">
        <v>59</v>
      </c>
      <c r="N8" s="5" t="s">
        <v>85</v>
      </c>
      <c r="O8" s="14" t="s">
        <v>86</v>
      </c>
      <c r="P8" s="4" t="str">
        <f aca="false">IF(OR(I8="Por definir",I8="No desarrollado"),"Alta",IF(OR(L8&lt;&gt;"—",ISNUMBER(SEARCH("Pendiente",H8))),"Media","Baja"))</f>
        <v>Media</v>
      </c>
    </row>
    <row r="9" customFormat="false" ht="32.8" hidden="false" customHeight="false" outlineLevel="0" collapsed="false">
      <c r="A9" s="4" t="n">
        <v>1</v>
      </c>
      <c r="B9" s="5" t="s">
        <v>15</v>
      </c>
      <c r="C9" s="4" t="s">
        <v>87</v>
      </c>
      <c r="D9" s="5" t="s">
        <v>88</v>
      </c>
      <c r="E9" s="5" t="s">
        <v>89</v>
      </c>
      <c r="F9" s="5" t="s">
        <v>90</v>
      </c>
      <c r="G9" s="5" t="s">
        <v>91</v>
      </c>
      <c r="H9" s="5" t="s">
        <v>59</v>
      </c>
      <c r="I9" s="4" t="s">
        <v>6</v>
      </c>
      <c r="J9" s="4" t="n">
        <v>5</v>
      </c>
      <c r="K9" s="4" t="n">
        <v>0</v>
      </c>
      <c r="L9" s="5" t="s">
        <v>92</v>
      </c>
      <c r="M9" s="5" t="s">
        <v>93</v>
      </c>
      <c r="N9" s="5" t="s">
        <v>94</v>
      </c>
      <c r="O9" s="14" t="s">
        <v>95</v>
      </c>
      <c r="P9" s="4" t="str">
        <f aca="false">IF(OR(I9="Por definir",I9="No desarrollado"),"Alta",IF(OR(L9&lt;&gt;"—",ISNUMBER(SEARCH("Pendiente",H9))),"Media","Baja"))</f>
        <v>Media</v>
      </c>
    </row>
    <row r="10" customFormat="false" ht="43.25" hidden="false" customHeight="false" outlineLevel="0" collapsed="false">
      <c r="A10" s="4" t="n">
        <v>2</v>
      </c>
      <c r="B10" s="5" t="s">
        <v>16</v>
      </c>
      <c r="C10" s="4" t="s">
        <v>96</v>
      </c>
      <c r="D10" s="5" t="s">
        <v>97</v>
      </c>
      <c r="E10" s="5" t="s">
        <v>98</v>
      </c>
      <c r="F10" s="5" t="s">
        <v>99</v>
      </c>
      <c r="G10" s="5" t="s">
        <v>100</v>
      </c>
      <c r="H10" s="5" t="s">
        <v>101</v>
      </c>
      <c r="I10" s="4" t="s">
        <v>6</v>
      </c>
      <c r="J10" s="4" t="n">
        <v>7</v>
      </c>
      <c r="K10" s="4" t="n">
        <v>0</v>
      </c>
      <c r="L10" s="5" t="s">
        <v>59</v>
      </c>
      <c r="M10" s="5" t="s">
        <v>102</v>
      </c>
      <c r="N10" s="5" t="s">
        <v>103</v>
      </c>
      <c r="O10" s="14" t="s">
        <v>104</v>
      </c>
      <c r="P10" s="4" t="str">
        <f aca="false">IF(OR(I10="Por definir",I10="No desarrollado"),"Alta",IF(OR(L10&lt;&gt;"—",ISNUMBER(SEARCH("Pendiente",H10))),"Media","Baja"))</f>
        <v>Media</v>
      </c>
    </row>
    <row r="11" customFormat="false" ht="85.05" hidden="false" customHeight="false" outlineLevel="0" collapsed="false">
      <c r="A11" s="4" t="n">
        <v>2</v>
      </c>
      <c r="B11" s="5" t="s">
        <v>16</v>
      </c>
      <c r="C11" s="4" t="s">
        <v>105</v>
      </c>
      <c r="D11" s="5" t="s">
        <v>106</v>
      </c>
      <c r="E11" s="5" t="s">
        <v>98</v>
      </c>
      <c r="F11" s="5" t="s">
        <v>59</v>
      </c>
      <c r="G11" s="5" t="s">
        <v>91</v>
      </c>
      <c r="H11" s="5" t="s">
        <v>107</v>
      </c>
      <c r="I11" s="4" t="s">
        <v>6</v>
      </c>
      <c r="J11" s="4" t="n">
        <v>5</v>
      </c>
      <c r="K11" s="4" t="n">
        <v>0</v>
      </c>
      <c r="L11" s="5" t="s">
        <v>59</v>
      </c>
      <c r="M11" s="5" t="s">
        <v>108</v>
      </c>
      <c r="N11" s="5" t="s">
        <v>109</v>
      </c>
      <c r="O11" s="14" t="s">
        <v>110</v>
      </c>
      <c r="P11" s="4" t="str">
        <f aca="false">IF(OR(I11="Por definir",I11="No desarrollado"),"Alta",IF(OR(L11&lt;&gt;"—",ISNUMBER(SEARCH("Pendiente",H11))),"Media","Baja"))</f>
        <v>Baja</v>
      </c>
    </row>
    <row r="12" customFormat="false" ht="64.15" hidden="false" customHeight="false" outlineLevel="0" collapsed="false">
      <c r="A12" s="4" t="n">
        <v>2</v>
      </c>
      <c r="B12" s="5" t="s">
        <v>16</v>
      </c>
      <c r="C12" s="4" t="s">
        <v>111</v>
      </c>
      <c r="D12" s="5" t="s">
        <v>112</v>
      </c>
      <c r="E12" s="5" t="s">
        <v>98</v>
      </c>
      <c r="F12" s="5" t="s">
        <v>59</v>
      </c>
      <c r="G12" s="5" t="s">
        <v>91</v>
      </c>
      <c r="H12" s="5" t="s">
        <v>113</v>
      </c>
      <c r="I12" s="4" t="s">
        <v>6</v>
      </c>
      <c r="J12" s="4" t="n">
        <v>7</v>
      </c>
      <c r="K12" s="4" t="n">
        <v>0</v>
      </c>
      <c r="L12" s="5" t="s">
        <v>59</v>
      </c>
      <c r="M12" s="5" t="s">
        <v>114</v>
      </c>
      <c r="N12" s="5" t="s">
        <v>115</v>
      </c>
      <c r="O12" s="14" t="s">
        <v>116</v>
      </c>
      <c r="P12" s="4" t="str">
        <f aca="false">IF(OR(I12="Por definir",I12="No desarrollado"),"Alta",IF(OR(L12&lt;&gt;"—",ISNUMBER(SEARCH("Pendiente",H12))),"Media","Baja"))</f>
        <v>Baja</v>
      </c>
    </row>
    <row r="13" customFormat="false" ht="85.05" hidden="false" customHeight="false" outlineLevel="0" collapsed="false">
      <c r="A13" s="4" t="n">
        <v>2</v>
      </c>
      <c r="B13" s="5" t="s">
        <v>16</v>
      </c>
      <c r="C13" s="4" t="s">
        <v>117</v>
      </c>
      <c r="D13" s="5"/>
      <c r="E13" s="5" t="s">
        <v>118</v>
      </c>
      <c r="F13" s="5" t="s">
        <v>59</v>
      </c>
      <c r="G13" s="5" t="s">
        <v>91</v>
      </c>
      <c r="H13" s="5" t="s">
        <v>119</v>
      </c>
      <c r="I13" s="4" t="s">
        <v>7</v>
      </c>
      <c r="J13" s="4" t="n">
        <v>2</v>
      </c>
      <c r="K13" s="4" t="n">
        <v>0</v>
      </c>
      <c r="L13" s="5" t="s">
        <v>59</v>
      </c>
      <c r="M13" s="5" t="s">
        <v>120</v>
      </c>
      <c r="N13" s="5" t="s">
        <v>121</v>
      </c>
      <c r="O13" s="14" t="s">
        <v>122</v>
      </c>
      <c r="P13" s="4" t="str">
        <f aca="false">IF(OR(I13="Por definir",I13="No desarrollado"),"Alta",IF(OR(L13&lt;&gt;"—",ISNUMBER(SEARCH("Pendiente",H13))),"Media","Baja"))</f>
        <v>Alta</v>
      </c>
    </row>
    <row r="14" customFormat="false" ht="43.25" hidden="false" customHeight="false" outlineLevel="0" collapsed="false">
      <c r="A14" s="4" t="n">
        <v>2</v>
      </c>
      <c r="B14" s="5" t="s">
        <v>16</v>
      </c>
      <c r="C14" s="4" t="s">
        <v>123</v>
      </c>
      <c r="D14" s="5" t="s">
        <v>124</v>
      </c>
      <c r="E14" s="5" t="s">
        <v>118</v>
      </c>
      <c r="F14" s="5" t="s">
        <v>59</v>
      </c>
      <c r="G14" s="5" t="s">
        <v>91</v>
      </c>
      <c r="H14" s="5" t="s">
        <v>125</v>
      </c>
      <c r="I14" s="4" t="s">
        <v>7</v>
      </c>
      <c r="J14" s="4" t="n">
        <v>4</v>
      </c>
      <c r="K14" s="4" t="n">
        <v>0</v>
      </c>
      <c r="L14" s="5" t="s">
        <v>59</v>
      </c>
      <c r="M14" s="5" t="s">
        <v>126</v>
      </c>
      <c r="N14" s="5" t="s">
        <v>127</v>
      </c>
      <c r="O14" s="14" t="s">
        <v>128</v>
      </c>
      <c r="P14" s="4" t="str">
        <f aca="false">IF(OR(I14="Por definir",I14="No desarrollado"),"Alta",IF(OR(L14&lt;&gt;"—",ISNUMBER(SEARCH("Pendiente",H14))),"Media","Baja"))</f>
        <v>Alta</v>
      </c>
    </row>
    <row r="15" customFormat="false" ht="64.15" hidden="false" customHeight="false" outlineLevel="0" collapsed="false">
      <c r="A15" s="4" t="n">
        <v>2</v>
      </c>
      <c r="B15" s="5" t="s">
        <v>16</v>
      </c>
      <c r="C15" s="4" t="s">
        <v>129</v>
      </c>
      <c r="D15" s="5" t="s">
        <v>130</v>
      </c>
      <c r="E15" s="5" t="s">
        <v>131</v>
      </c>
      <c r="F15" s="5" t="s">
        <v>59</v>
      </c>
      <c r="G15" s="5" t="s">
        <v>132</v>
      </c>
      <c r="H15" s="5" t="s">
        <v>59</v>
      </c>
      <c r="I15" s="4" t="s">
        <v>6</v>
      </c>
      <c r="J15" s="4" t="n">
        <v>4</v>
      </c>
      <c r="K15" s="4" t="n">
        <v>0</v>
      </c>
      <c r="L15" s="5" t="s">
        <v>59</v>
      </c>
      <c r="M15" s="5" t="s">
        <v>133</v>
      </c>
      <c r="N15" s="5" t="s">
        <v>134</v>
      </c>
      <c r="O15" s="14" t="s">
        <v>135</v>
      </c>
      <c r="P15" s="4" t="str">
        <f aca="false">IF(OR(I15="Por definir",I15="No desarrollado"),"Alta",IF(OR(L15&lt;&gt;"—",ISNUMBER(SEARCH("Pendiente",H15))),"Media","Baja"))</f>
        <v>Baja</v>
      </c>
    </row>
    <row r="16" customFormat="false" ht="32.8" hidden="false" customHeight="false" outlineLevel="0" collapsed="false">
      <c r="A16" s="4" t="n">
        <v>2</v>
      </c>
      <c r="B16" s="5" t="s">
        <v>16</v>
      </c>
      <c r="C16" s="4" t="s">
        <v>136</v>
      </c>
      <c r="D16" s="5" t="s">
        <v>137</v>
      </c>
      <c r="E16" s="5" t="s">
        <v>138</v>
      </c>
      <c r="F16" s="5" t="s">
        <v>139</v>
      </c>
      <c r="G16" s="5" t="s">
        <v>91</v>
      </c>
      <c r="H16" s="5" t="s">
        <v>59</v>
      </c>
      <c r="I16" s="4" t="s">
        <v>7</v>
      </c>
      <c r="J16" s="4" t="n">
        <v>4</v>
      </c>
      <c r="K16" s="4" t="n">
        <v>0</v>
      </c>
      <c r="L16" s="5" t="s">
        <v>59</v>
      </c>
      <c r="M16" s="5" t="s">
        <v>140</v>
      </c>
      <c r="N16" s="5" t="s">
        <v>141</v>
      </c>
      <c r="O16" s="14" t="s">
        <v>142</v>
      </c>
      <c r="P16" s="4" t="str">
        <f aca="false">IF(OR(I16="Por definir",I16="No desarrollado"),"Alta",IF(OR(L16&lt;&gt;"—",ISNUMBER(SEARCH("Pendiente",H16))),"Media","Baja"))</f>
        <v>Alta</v>
      </c>
    </row>
    <row r="17" customFormat="false" ht="53.7" hidden="false" customHeight="false" outlineLevel="0" collapsed="false">
      <c r="A17" s="4" t="n">
        <v>3</v>
      </c>
      <c r="B17" s="5" t="s">
        <v>17</v>
      </c>
      <c r="C17" s="4" t="s">
        <v>143</v>
      </c>
      <c r="D17" s="5" t="s">
        <v>144</v>
      </c>
      <c r="E17" s="5" t="s">
        <v>145</v>
      </c>
      <c r="F17" s="5" t="s">
        <v>146</v>
      </c>
      <c r="G17" s="5" t="s">
        <v>91</v>
      </c>
      <c r="H17" s="5" t="s">
        <v>59</v>
      </c>
      <c r="I17" s="4" t="s">
        <v>6</v>
      </c>
      <c r="J17" s="4" t="n">
        <v>4</v>
      </c>
      <c r="K17" s="4" t="n">
        <v>0</v>
      </c>
      <c r="L17" s="5" t="s">
        <v>59</v>
      </c>
      <c r="M17" s="5" t="s">
        <v>147</v>
      </c>
      <c r="N17" s="5" t="s">
        <v>148</v>
      </c>
      <c r="O17" s="14" t="s">
        <v>149</v>
      </c>
      <c r="P17" s="4" t="str">
        <f aca="false">IF(OR(I17="Por definir",I17="No desarrollado"),"Alta",IF(OR(L17&lt;&gt;"—",ISNUMBER(SEARCH("Pendiente",H17))),"Media","Baja"))</f>
        <v>Baja</v>
      </c>
    </row>
    <row r="18" customFormat="false" ht="43.25" hidden="false" customHeight="false" outlineLevel="0" collapsed="false">
      <c r="A18" s="4" t="n">
        <v>3</v>
      </c>
      <c r="B18" s="5" t="s">
        <v>17</v>
      </c>
      <c r="C18" s="4" t="s">
        <v>150</v>
      </c>
      <c r="D18" s="5" t="s">
        <v>151</v>
      </c>
      <c r="E18" s="5" t="s">
        <v>152</v>
      </c>
      <c r="F18" s="5" t="s">
        <v>153</v>
      </c>
      <c r="G18" s="5" t="s">
        <v>154</v>
      </c>
      <c r="H18" s="5" t="s">
        <v>59</v>
      </c>
      <c r="I18" s="4" t="s">
        <v>6</v>
      </c>
      <c r="J18" s="4" t="n">
        <v>4</v>
      </c>
      <c r="K18" s="4" t="n">
        <v>0</v>
      </c>
      <c r="L18" s="5" t="s">
        <v>59</v>
      </c>
      <c r="M18" s="5" t="s">
        <v>155</v>
      </c>
      <c r="N18" s="5" t="s">
        <v>156</v>
      </c>
      <c r="O18" s="14" t="s">
        <v>157</v>
      </c>
      <c r="P18" s="4" t="str">
        <f aca="false">IF(OR(I18="Por definir",I18="No desarrollado"),"Alta",IF(OR(L18&lt;&gt;"—",ISNUMBER(SEARCH("Pendiente",H18))),"Media","Baja"))</f>
        <v>Baja</v>
      </c>
    </row>
    <row r="19" customFormat="false" ht="43.25" hidden="false" customHeight="false" outlineLevel="0" collapsed="false">
      <c r="A19" s="4" t="n">
        <v>3</v>
      </c>
      <c r="B19" s="5" t="s">
        <v>17</v>
      </c>
      <c r="C19" s="4" t="s">
        <v>158</v>
      </c>
      <c r="D19" s="5" t="s">
        <v>159</v>
      </c>
      <c r="E19" s="5" t="s">
        <v>160</v>
      </c>
      <c r="F19" s="5" t="s">
        <v>161</v>
      </c>
      <c r="G19" s="5" t="s">
        <v>91</v>
      </c>
      <c r="H19" s="5" t="s">
        <v>162</v>
      </c>
      <c r="I19" s="4" t="s">
        <v>6</v>
      </c>
      <c r="J19" s="4" t="n">
        <v>5</v>
      </c>
      <c r="K19" s="4" t="n">
        <v>0</v>
      </c>
      <c r="L19" s="5" t="s">
        <v>59</v>
      </c>
      <c r="M19" s="5" t="s">
        <v>163</v>
      </c>
      <c r="N19" s="5" t="s">
        <v>164</v>
      </c>
      <c r="O19" s="14" t="s">
        <v>165</v>
      </c>
      <c r="P19" s="4" t="str">
        <f aca="false">IF(OR(I19="Por definir",I19="No desarrollado"),"Alta",IF(OR(L19&lt;&gt;"—",ISNUMBER(SEARCH("Pendiente",H19))),"Media","Baja"))</f>
        <v>Media</v>
      </c>
    </row>
    <row r="20" customFormat="false" ht="32.8" hidden="false" customHeight="false" outlineLevel="0" collapsed="false">
      <c r="A20" s="4" t="n">
        <v>3</v>
      </c>
      <c r="B20" s="5" t="s">
        <v>17</v>
      </c>
      <c r="C20" s="4" t="s">
        <v>166</v>
      </c>
      <c r="D20" s="5" t="s">
        <v>167</v>
      </c>
      <c r="E20" s="5" t="s">
        <v>152</v>
      </c>
      <c r="F20" s="5" t="s">
        <v>168</v>
      </c>
      <c r="G20" s="5" t="s">
        <v>169</v>
      </c>
      <c r="H20" s="5" t="s">
        <v>59</v>
      </c>
      <c r="I20" s="4" t="s">
        <v>6</v>
      </c>
      <c r="J20" s="4" t="n">
        <v>4</v>
      </c>
      <c r="K20" s="4" t="n">
        <v>0</v>
      </c>
      <c r="L20" s="5" t="s">
        <v>59</v>
      </c>
      <c r="M20" s="5" t="s">
        <v>170</v>
      </c>
      <c r="N20" s="5" t="s">
        <v>171</v>
      </c>
      <c r="O20" s="14" t="s">
        <v>172</v>
      </c>
      <c r="P20" s="4" t="str">
        <f aca="false">IF(OR(I20="Por definir",I20="No desarrollado"),"Alta",IF(OR(L20&lt;&gt;"—",ISNUMBER(SEARCH("Pendiente",H20))),"Media","Baja"))</f>
        <v>Baja</v>
      </c>
    </row>
    <row r="21" customFormat="false" ht="43.25" hidden="false" customHeight="false" outlineLevel="0" collapsed="false">
      <c r="A21" s="4" t="n">
        <v>3</v>
      </c>
      <c r="B21" s="5" t="s">
        <v>17</v>
      </c>
      <c r="C21" s="4" t="s">
        <v>173</v>
      </c>
      <c r="D21" s="5" t="s">
        <v>174</v>
      </c>
      <c r="E21" s="5" t="s">
        <v>175</v>
      </c>
      <c r="F21" s="5" t="s">
        <v>176</v>
      </c>
      <c r="G21" s="5" t="s">
        <v>177</v>
      </c>
      <c r="H21" s="5" t="s">
        <v>59</v>
      </c>
      <c r="I21" s="4" t="s">
        <v>6</v>
      </c>
      <c r="J21" s="4" t="n">
        <v>5</v>
      </c>
      <c r="K21" s="4" t="n">
        <v>0</v>
      </c>
      <c r="L21" s="5" t="s">
        <v>178</v>
      </c>
      <c r="M21" s="5" t="s">
        <v>179</v>
      </c>
      <c r="N21" s="5" t="s">
        <v>180</v>
      </c>
      <c r="O21" s="14" t="s">
        <v>181</v>
      </c>
      <c r="P21" s="4" t="str">
        <f aca="false">IF(OR(I21="Por definir",I21="No desarrollado"),"Alta",IF(OR(L21&lt;&gt;"—",ISNUMBER(SEARCH("Pendiente",H21))),"Media","Baja"))</f>
        <v>Media</v>
      </c>
    </row>
    <row r="22" customFormat="false" ht="64.15" hidden="false" customHeight="false" outlineLevel="0" collapsed="false">
      <c r="A22" s="4" t="n">
        <v>3</v>
      </c>
      <c r="B22" s="5" t="s">
        <v>17</v>
      </c>
      <c r="C22" s="4" t="s">
        <v>182</v>
      </c>
      <c r="D22" s="5" t="s">
        <v>183</v>
      </c>
      <c r="E22" s="5" t="s">
        <v>184</v>
      </c>
      <c r="F22" s="5" t="s">
        <v>59</v>
      </c>
      <c r="G22" s="5" t="s">
        <v>185</v>
      </c>
      <c r="H22" s="5" t="s">
        <v>59</v>
      </c>
      <c r="I22" s="4" t="s">
        <v>6</v>
      </c>
      <c r="J22" s="4" t="n">
        <v>10</v>
      </c>
      <c r="K22" s="4" t="n">
        <v>0</v>
      </c>
      <c r="L22" s="5" t="s">
        <v>186</v>
      </c>
      <c r="M22" s="5" t="s">
        <v>187</v>
      </c>
      <c r="N22" s="5" t="s">
        <v>188</v>
      </c>
      <c r="O22" s="14" t="s">
        <v>189</v>
      </c>
      <c r="P22" s="4" t="str">
        <f aca="false">IF(OR(I22="Por definir",I22="No desarrollado"),"Alta",IF(OR(L22&lt;&gt;"—",ISNUMBER(SEARCH("Pendiente",H22))),"Media","Baja"))</f>
        <v>Media</v>
      </c>
    </row>
    <row r="23" customFormat="false" ht="64.15" hidden="false" customHeight="false" outlineLevel="0" collapsed="false">
      <c r="A23" s="4" t="n">
        <v>3</v>
      </c>
      <c r="B23" s="5" t="s">
        <v>17</v>
      </c>
      <c r="C23" s="4" t="s">
        <v>190</v>
      </c>
      <c r="D23" s="5" t="s">
        <v>191</v>
      </c>
      <c r="E23" s="5" t="s">
        <v>186</v>
      </c>
      <c r="F23" s="5" t="s">
        <v>59</v>
      </c>
      <c r="G23" s="5" t="s">
        <v>192</v>
      </c>
      <c r="H23" s="5" t="s">
        <v>59</v>
      </c>
      <c r="I23" s="4" t="s">
        <v>6</v>
      </c>
      <c r="J23" s="4" t="n">
        <v>5</v>
      </c>
      <c r="K23" s="4" t="n">
        <v>0</v>
      </c>
      <c r="L23" s="5" t="s">
        <v>59</v>
      </c>
      <c r="M23" s="5" t="s">
        <v>193</v>
      </c>
      <c r="N23" s="5" t="s">
        <v>194</v>
      </c>
      <c r="O23" s="14" t="s">
        <v>195</v>
      </c>
      <c r="P23" s="4" t="str">
        <f aca="false">IF(OR(I23="Por definir",I23="No desarrollado"),"Alta",IF(OR(L23&lt;&gt;"—",ISNUMBER(SEARCH("Pendiente",H23))),"Media","Baja"))</f>
        <v>Baja</v>
      </c>
    </row>
    <row r="24" customFormat="false" ht="64.15" hidden="false" customHeight="false" outlineLevel="0" collapsed="false">
      <c r="A24" s="4" t="n">
        <v>4</v>
      </c>
      <c r="B24" s="5" t="s">
        <v>18</v>
      </c>
      <c r="C24" s="4" t="s">
        <v>196</v>
      </c>
      <c r="D24" s="5" t="s">
        <v>197</v>
      </c>
      <c r="E24" s="5" t="s">
        <v>198</v>
      </c>
      <c r="F24" s="5" t="s">
        <v>199</v>
      </c>
      <c r="G24" s="5" t="s">
        <v>200</v>
      </c>
      <c r="H24" s="5" t="s">
        <v>201</v>
      </c>
      <c r="I24" s="4" t="s">
        <v>7</v>
      </c>
      <c r="J24" s="4" t="n">
        <v>4</v>
      </c>
      <c r="K24" s="4" t="n">
        <v>0</v>
      </c>
      <c r="L24" s="5" t="s">
        <v>202</v>
      </c>
      <c r="M24" s="5" t="s">
        <v>203</v>
      </c>
      <c r="N24" s="5" t="s">
        <v>204</v>
      </c>
      <c r="O24" s="14" t="s">
        <v>205</v>
      </c>
      <c r="P24" s="4" t="str">
        <f aca="false">IF(OR(I24="Por definir",I24="No desarrollado"),"Alta",IF(OR(L24&lt;&gt;"—",ISNUMBER(SEARCH("Pendiente",H24))),"Media","Baja"))</f>
        <v>Alta</v>
      </c>
    </row>
    <row r="25" customFormat="false" ht="32.8" hidden="false" customHeight="false" outlineLevel="0" collapsed="false">
      <c r="A25" s="4" t="n">
        <v>4</v>
      </c>
      <c r="B25" s="5" t="s">
        <v>18</v>
      </c>
      <c r="C25" s="4" t="s">
        <v>206</v>
      </c>
      <c r="D25" s="5" t="s">
        <v>207</v>
      </c>
      <c r="E25" s="5" t="s">
        <v>208</v>
      </c>
      <c r="F25" s="5" t="s">
        <v>209</v>
      </c>
      <c r="G25" s="5" t="s">
        <v>210</v>
      </c>
      <c r="H25" s="5" t="s">
        <v>59</v>
      </c>
      <c r="I25" s="4" t="s">
        <v>6</v>
      </c>
      <c r="J25" s="4" t="n">
        <v>4</v>
      </c>
      <c r="K25" s="4" t="n">
        <v>0</v>
      </c>
      <c r="L25" s="5" t="s">
        <v>211</v>
      </c>
      <c r="M25" s="5" t="s">
        <v>212</v>
      </c>
      <c r="N25" s="5" t="s">
        <v>213</v>
      </c>
      <c r="O25" s="14" t="s">
        <v>214</v>
      </c>
      <c r="P25" s="4" t="str">
        <f aca="false">IF(OR(I25="Por definir",I25="No desarrollado"),"Alta",IF(OR(L25&lt;&gt;"—",ISNUMBER(SEARCH("Pendiente",H25))),"Media","Baja"))</f>
        <v>Media</v>
      </c>
    </row>
    <row r="26" customFormat="false" ht="53.7" hidden="false" customHeight="false" outlineLevel="0" collapsed="false">
      <c r="A26" s="4" t="n">
        <v>4</v>
      </c>
      <c r="B26" s="5" t="s">
        <v>18</v>
      </c>
      <c r="C26" s="4" t="s">
        <v>215</v>
      </c>
      <c r="D26" s="5" t="s">
        <v>216</v>
      </c>
      <c r="E26" s="5" t="s">
        <v>217</v>
      </c>
      <c r="F26" s="5" t="s">
        <v>218</v>
      </c>
      <c r="G26" s="5" t="s">
        <v>219</v>
      </c>
      <c r="H26" s="5" t="s">
        <v>201</v>
      </c>
      <c r="I26" s="4" t="s">
        <v>6</v>
      </c>
      <c r="J26" s="4" t="n">
        <v>4</v>
      </c>
      <c r="K26" s="4" t="n">
        <v>0</v>
      </c>
      <c r="L26" s="5" t="s">
        <v>220</v>
      </c>
      <c r="M26" s="5" t="s">
        <v>221</v>
      </c>
      <c r="N26" s="5" t="s">
        <v>222</v>
      </c>
      <c r="O26" s="14" t="s">
        <v>223</v>
      </c>
      <c r="P26" s="4" t="str">
        <f aca="false">IF(OR(I26="Por definir",I26="No desarrollado"),"Alta",IF(OR(L26&lt;&gt;"—",ISNUMBER(SEARCH("Pendiente",H26))),"Media","Baja"))</f>
        <v>Media</v>
      </c>
    </row>
    <row r="27" customFormat="false" ht="32.8" hidden="false" customHeight="false" outlineLevel="0" collapsed="false">
      <c r="A27" s="4" t="n">
        <v>4</v>
      </c>
      <c r="B27" s="5" t="s">
        <v>18</v>
      </c>
      <c r="C27" s="4" t="s">
        <v>224</v>
      </c>
      <c r="D27" s="5" t="s">
        <v>225</v>
      </c>
      <c r="E27" s="5" t="s">
        <v>226</v>
      </c>
      <c r="F27" s="5" t="s">
        <v>227</v>
      </c>
      <c r="G27" s="5" t="s">
        <v>91</v>
      </c>
      <c r="H27" s="5" t="s">
        <v>228</v>
      </c>
      <c r="I27" s="4" t="s">
        <v>7</v>
      </c>
      <c r="J27" s="4" t="n">
        <v>4</v>
      </c>
      <c r="K27" s="4" t="n">
        <v>0</v>
      </c>
      <c r="L27" s="5" t="s">
        <v>229</v>
      </c>
      <c r="M27" s="5" t="s">
        <v>230</v>
      </c>
      <c r="N27" s="5" t="s">
        <v>231</v>
      </c>
      <c r="O27" s="14" t="s">
        <v>232</v>
      </c>
      <c r="P27" s="4" t="str">
        <f aca="false">IF(OR(I27="Por definir",I27="No desarrollado"),"Alta",IF(OR(L27&lt;&gt;"—",ISNUMBER(SEARCH("Pendiente",H27))),"Media","Baja"))</f>
        <v>Alta</v>
      </c>
    </row>
    <row r="28" customFormat="false" ht="32.8" hidden="false" customHeight="false" outlineLevel="0" collapsed="false">
      <c r="A28" s="4" t="n">
        <v>4</v>
      </c>
      <c r="B28" s="5" t="s">
        <v>18</v>
      </c>
      <c r="C28" s="4" t="s">
        <v>233</v>
      </c>
      <c r="D28" s="5" t="s">
        <v>234</v>
      </c>
      <c r="E28" s="5" t="s">
        <v>235</v>
      </c>
      <c r="F28" s="5" t="s">
        <v>236</v>
      </c>
      <c r="G28" s="5" t="s">
        <v>237</v>
      </c>
      <c r="H28" s="5" t="s">
        <v>59</v>
      </c>
      <c r="I28" s="4" t="s">
        <v>6</v>
      </c>
      <c r="J28" s="4" t="n">
        <v>3</v>
      </c>
      <c r="K28" s="4" t="n">
        <v>0</v>
      </c>
      <c r="L28" s="5" t="s">
        <v>59</v>
      </c>
      <c r="M28" s="5" t="s">
        <v>238</v>
      </c>
      <c r="N28" s="5" t="s">
        <v>239</v>
      </c>
      <c r="O28" s="14" t="s">
        <v>240</v>
      </c>
      <c r="P28" s="4" t="str">
        <f aca="false">IF(OR(I28="Por definir",I28="No desarrollado"),"Alta",IF(OR(L28&lt;&gt;"—",ISNUMBER(SEARCH("Pendiente",H28))),"Media","Baja"))</f>
        <v>Baja</v>
      </c>
    </row>
    <row r="29" customFormat="false" ht="32.8" hidden="false" customHeight="false" outlineLevel="0" collapsed="false">
      <c r="A29" s="4" t="n">
        <v>4</v>
      </c>
      <c r="B29" s="5" t="s">
        <v>18</v>
      </c>
      <c r="C29" s="4" t="s">
        <v>241</v>
      </c>
      <c r="D29" s="5" t="s">
        <v>242</v>
      </c>
      <c r="E29" s="5" t="s">
        <v>243</v>
      </c>
      <c r="F29" s="5" t="s">
        <v>244</v>
      </c>
      <c r="G29" s="5" t="s">
        <v>245</v>
      </c>
      <c r="H29" s="5" t="s">
        <v>59</v>
      </c>
      <c r="I29" s="4" t="s">
        <v>7</v>
      </c>
      <c r="J29" s="4" t="n">
        <v>5</v>
      </c>
      <c r="K29" s="4" t="n">
        <v>0</v>
      </c>
      <c r="L29" s="5" t="s">
        <v>59</v>
      </c>
      <c r="M29" s="5" t="s">
        <v>246</v>
      </c>
      <c r="N29" s="5" t="s">
        <v>247</v>
      </c>
      <c r="O29" s="14" t="s">
        <v>248</v>
      </c>
      <c r="P29" s="4" t="str">
        <f aca="false">IF(OR(I29="Por definir",I29="No desarrollado"),"Alta",IF(OR(L29&lt;&gt;"—",ISNUMBER(SEARCH("Pendiente",H29))),"Media","Baja"))</f>
        <v>Alta</v>
      </c>
    </row>
    <row r="30" customFormat="false" ht="43.25" hidden="false" customHeight="false" outlineLevel="0" collapsed="false">
      <c r="A30" s="4" t="n">
        <v>5</v>
      </c>
      <c r="B30" s="5" t="s">
        <v>19</v>
      </c>
      <c r="C30" s="4" t="s">
        <v>249</v>
      </c>
      <c r="D30" s="5" t="s">
        <v>250</v>
      </c>
      <c r="E30" s="5" t="s">
        <v>251</v>
      </c>
      <c r="F30" s="5" t="s">
        <v>252</v>
      </c>
      <c r="G30" s="5" t="s">
        <v>253</v>
      </c>
      <c r="H30" s="5" t="s">
        <v>59</v>
      </c>
      <c r="I30" s="4" t="s">
        <v>6</v>
      </c>
      <c r="J30" s="4" t="n">
        <v>5</v>
      </c>
      <c r="K30" s="4" t="n">
        <v>0</v>
      </c>
      <c r="L30" s="5" t="s">
        <v>251</v>
      </c>
      <c r="M30" s="5" t="s">
        <v>254</v>
      </c>
      <c r="N30" s="5" t="s">
        <v>255</v>
      </c>
      <c r="O30" s="14" t="s">
        <v>256</v>
      </c>
      <c r="P30" s="4" t="str">
        <f aca="false">IF(OR(I30="Por definir",I30="No desarrollado"),"Alta",IF(OR(L30&lt;&gt;"—",ISNUMBER(SEARCH("Pendiente",H30))),"Media","Baja"))</f>
        <v>Media</v>
      </c>
    </row>
    <row r="31" customFormat="false" ht="43.25" hidden="false" customHeight="false" outlineLevel="0" collapsed="false">
      <c r="A31" s="4" t="n">
        <v>5</v>
      </c>
      <c r="B31" s="5" t="s">
        <v>19</v>
      </c>
      <c r="C31" s="4" t="s">
        <v>257</v>
      </c>
      <c r="D31" s="5" t="s">
        <v>258</v>
      </c>
      <c r="E31" s="5" t="s">
        <v>251</v>
      </c>
      <c r="F31" s="5" t="s">
        <v>259</v>
      </c>
      <c r="G31" s="5" t="s">
        <v>91</v>
      </c>
      <c r="H31" s="5" t="s">
        <v>59</v>
      </c>
      <c r="I31" s="4" t="s">
        <v>6</v>
      </c>
      <c r="J31" s="4" t="n">
        <v>4</v>
      </c>
      <c r="K31" s="4" t="n">
        <v>0</v>
      </c>
      <c r="L31" s="5" t="s">
        <v>251</v>
      </c>
      <c r="M31" s="5" t="s">
        <v>260</v>
      </c>
      <c r="N31" s="5" t="s">
        <v>261</v>
      </c>
      <c r="O31" s="14" t="s">
        <v>262</v>
      </c>
      <c r="P31" s="4" t="str">
        <f aca="false">IF(OR(I31="Por definir",I31="No desarrollado"),"Alta",IF(OR(L31&lt;&gt;"—",ISNUMBER(SEARCH("Pendiente",H31))),"Media","Baja"))</f>
        <v>Media</v>
      </c>
    </row>
    <row r="32" customFormat="false" ht="43.25" hidden="false" customHeight="false" outlineLevel="0" collapsed="false">
      <c r="A32" s="4" t="n">
        <v>5</v>
      </c>
      <c r="B32" s="5" t="s">
        <v>19</v>
      </c>
      <c r="C32" s="4" t="s">
        <v>263</v>
      </c>
      <c r="D32" s="5" t="s">
        <v>264</v>
      </c>
      <c r="E32" s="5" t="s">
        <v>251</v>
      </c>
      <c r="F32" s="5" t="s">
        <v>259</v>
      </c>
      <c r="G32" s="5" t="s">
        <v>265</v>
      </c>
      <c r="H32" s="5" t="s">
        <v>59</v>
      </c>
      <c r="I32" s="4" t="s">
        <v>6</v>
      </c>
      <c r="J32" s="4" t="n">
        <v>3</v>
      </c>
      <c r="K32" s="4" t="n">
        <v>0</v>
      </c>
      <c r="L32" s="5" t="s">
        <v>251</v>
      </c>
      <c r="M32" s="5" t="s">
        <v>266</v>
      </c>
      <c r="N32" s="5" t="s">
        <v>267</v>
      </c>
      <c r="O32" s="14" t="s">
        <v>268</v>
      </c>
      <c r="P32" s="4" t="str">
        <f aca="false">IF(OR(I32="Por definir",I32="No desarrollado"),"Alta",IF(OR(L32&lt;&gt;"—",ISNUMBER(SEARCH("Pendiente",H32))),"Media","Baja"))</f>
        <v>Media</v>
      </c>
    </row>
    <row r="33" customFormat="false" ht="32.8" hidden="false" customHeight="false" outlineLevel="0" collapsed="false">
      <c r="A33" s="4" t="n">
        <v>5</v>
      </c>
      <c r="B33" s="5" t="s">
        <v>19</v>
      </c>
      <c r="C33" s="4" t="s">
        <v>269</v>
      </c>
      <c r="D33" s="5" t="s">
        <v>270</v>
      </c>
      <c r="E33" s="5" t="s">
        <v>271</v>
      </c>
      <c r="F33" s="5" t="s">
        <v>59</v>
      </c>
      <c r="G33" s="5" t="s">
        <v>91</v>
      </c>
      <c r="H33" s="5" t="s">
        <v>59</v>
      </c>
      <c r="I33" s="4" t="s">
        <v>7</v>
      </c>
      <c r="J33" s="4" t="n">
        <v>4</v>
      </c>
      <c r="K33" s="4" t="n">
        <v>0</v>
      </c>
      <c r="L33" s="5" t="s">
        <v>59</v>
      </c>
      <c r="M33" s="5" t="s">
        <v>272</v>
      </c>
      <c r="N33" s="5" t="s">
        <v>273</v>
      </c>
      <c r="O33" s="14" t="s">
        <v>274</v>
      </c>
      <c r="P33" s="4" t="str">
        <f aca="false">IF(OR(I33="Por definir",I33="No desarrollado"),"Alta",IF(OR(L33&lt;&gt;"—",ISNUMBER(SEARCH("Pendiente",H33))),"Media","Baja"))</f>
        <v>Alta</v>
      </c>
    </row>
    <row r="34" customFormat="false" ht="43.25" hidden="false" customHeight="false" outlineLevel="0" collapsed="false">
      <c r="A34" s="4" t="n">
        <v>5</v>
      </c>
      <c r="B34" s="5" t="s">
        <v>19</v>
      </c>
      <c r="C34" s="4" t="s">
        <v>275</v>
      </c>
      <c r="D34" s="5" t="s">
        <v>276</v>
      </c>
      <c r="E34" s="5" t="s">
        <v>277</v>
      </c>
      <c r="F34" s="5" t="s">
        <v>259</v>
      </c>
      <c r="G34" s="5" t="s">
        <v>91</v>
      </c>
      <c r="H34" s="5" t="s">
        <v>59</v>
      </c>
      <c r="I34" s="4" t="s">
        <v>6</v>
      </c>
      <c r="J34" s="4" t="n">
        <v>5</v>
      </c>
      <c r="K34" s="4" t="n">
        <v>0</v>
      </c>
      <c r="L34" s="5" t="s">
        <v>277</v>
      </c>
      <c r="M34" s="5" t="s">
        <v>278</v>
      </c>
      <c r="N34" s="5" t="s">
        <v>279</v>
      </c>
      <c r="O34" s="14" t="s">
        <v>280</v>
      </c>
      <c r="P34" s="4" t="str">
        <f aca="false">IF(OR(I34="Por definir",I34="No desarrollado"),"Alta",IF(OR(L34&lt;&gt;"—",ISNUMBER(SEARCH("Pendiente",H34))),"Media","Baja"))</f>
        <v>Media</v>
      </c>
    </row>
    <row r="35" customFormat="false" ht="32.8" hidden="false" customHeight="false" outlineLevel="0" collapsed="false">
      <c r="A35" s="4" t="n">
        <v>5</v>
      </c>
      <c r="B35" s="5" t="s">
        <v>19</v>
      </c>
      <c r="C35" s="4" t="s">
        <v>281</v>
      </c>
      <c r="D35" s="5" t="s">
        <v>282</v>
      </c>
      <c r="E35" s="5" t="s">
        <v>283</v>
      </c>
      <c r="F35" s="5" t="s">
        <v>59</v>
      </c>
      <c r="G35" s="5" t="s">
        <v>284</v>
      </c>
      <c r="H35" s="5" t="s">
        <v>59</v>
      </c>
      <c r="I35" s="4" t="s">
        <v>6</v>
      </c>
      <c r="J35" s="4" t="n">
        <v>3</v>
      </c>
      <c r="K35" s="4" t="n">
        <v>0</v>
      </c>
      <c r="L35" s="5" t="s">
        <v>59</v>
      </c>
      <c r="M35" s="5" t="s">
        <v>285</v>
      </c>
      <c r="N35" s="5" t="s">
        <v>286</v>
      </c>
      <c r="O35" s="14" t="s">
        <v>287</v>
      </c>
      <c r="P35" s="4" t="str">
        <f aca="false">IF(OR(I35="Por definir",I35="No desarrollado"),"Alta",IF(OR(L35&lt;&gt;"—",ISNUMBER(SEARCH("Pendiente",H35))),"Media","Baja"))</f>
        <v>Baja</v>
      </c>
    </row>
    <row r="36" customFormat="false" ht="43.25" hidden="false" customHeight="false" outlineLevel="0" collapsed="false">
      <c r="A36" s="4" t="n">
        <v>6</v>
      </c>
      <c r="B36" s="5" t="s">
        <v>20</v>
      </c>
      <c r="C36" s="4" t="s">
        <v>288</v>
      </c>
      <c r="D36" s="5" t="s">
        <v>289</v>
      </c>
      <c r="E36" s="5" t="s">
        <v>290</v>
      </c>
      <c r="F36" s="5" t="s">
        <v>291</v>
      </c>
      <c r="G36" s="5" t="s">
        <v>292</v>
      </c>
      <c r="H36" s="5" t="s">
        <v>293</v>
      </c>
      <c r="I36" s="4" t="s">
        <v>7</v>
      </c>
      <c r="J36" s="4" t="n">
        <v>4</v>
      </c>
      <c r="K36" s="4" t="n">
        <v>0</v>
      </c>
      <c r="L36" s="5" t="s">
        <v>59</v>
      </c>
      <c r="M36" s="5" t="s">
        <v>294</v>
      </c>
      <c r="N36" s="5" t="s">
        <v>295</v>
      </c>
      <c r="O36" s="14" t="s">
        <v>296</v>
      </c>
      <c r="P36" s="4" t="str">
        <f aca="false">IF(OR(I36="Por definir",I36="No desarrollado"),"Alta",IF(OR(L36&lt;&gt;"—",ISNUMBER(SEARCH("Pendiente",H36))),"Media","Baja"))</f>
        <v>Alta</v>
      </c>
    </row>
    <row r="37" customFormat="false" ht="32.8" hidden="false" customHeight="false" outlineLevel="0" collapsed="false">
      <c r="A37" s="4" t="n">
        <v>6</v>
      </c>
      <c r="B37" s="5" t="s">
        <v>20</v>
      </c>
      <c r="C37" s="4" t="s">
        <v>297</v>
      </c>
      <c r="D37" s="5" t="s">
        <v>298</v>
      </c>
      <c r="E37" s="5" t="s">
        <v>299</v>
      </c>
      <c r="F37" s="5" t="s">
        <v>300</v>
      </c>
      <c r="G37" s="5" t="s">
        <v>301</v>
      </c>
      <c r="H37" s="5" t="s">
        <v>302</v>
      </c>
      <c r="I37" s="4" t="s">
        <v>7</v>
      </c>
      <c r="J37" s="4" t="n">
        <v>4</v>
      </c>
      <c r="K37" s="4" t="n">
        <v>0</v>
      </c>
      <c r="L37" s="5" t="s">
        <v>59</v>
      </c>
      <c r="M37" s="5" t="s">
        <v>303</v>
      </c>
      <c r="N37" s="5" t="s">
        <v>304</v>
      </c>
      <c r="O37" s="14" t="s">
        <v>305</v>
      </c>
      <c r="P37" s="4" t="str">
        <f aca="false">IF(OR(I37="Por definir",I37="No desarrollado"),"Alta",IF(OR(L37&lt;&gt;"—",ISNUMBER(SEARCH("Pendiente",H37))),"Media","Baja"))</f>
        <v>Alta</v>
      </c>
    </row>
    <row r="38" customFormat="false" ht="22.35" hidden="false" customHeight="false" outlineLevel="0" collapsed="false">
      <c r="A38" s="4" t="n">
        <v>6</v>
      </c>
      <c r="B38" s="5" t="s">
        <v>20</v>
      </c>
      <c r="C38" s="4" t="s">
        <v>306</v>
      </c>
      <c r="D38" s="5" t="s">
        <v>307</v>
      </c>
      <c r="E38" s="5" t="s">
        <v>308</v>
      </c>
      <c r="F38" s="5" t="s">
        <v>309</v>
      </c>
      <c r="G38" s="5" t="s">
        <v>310</v>
      </c>
      <c r="H38" s="5" t="s">
        <v>59</v>
      </c>
      <c r="I38" s="4" t="s">
        <v>7</v>
      </c>
      <c r="J38" s="4" t="n">
        <v>3</v>
      </c>
      <c r="K38" s="4" t="n">
        <v>0</v>
      </c>
      <c r="L38" s="5" t="s">
        <v>59</v>
      </c>
      <c r="M38" s="5" t="s">
        <v>311</v>
      </c>
      <c r="N38" s="5" t="s">
        <v>312</v>
      </c>
      <c r="O38" s="14" t="s">
        <v>313</v>
      </c>
      <c r="P38" s="4" t="str">
        <f aca="false">IF(OR(I38="Por definir",I38="No desarrollado"),"Alta",IF(OR(L38&lt;&gt;"—",ISNUMBER(SEARCH("Pendiente",H38))),"Media","Baja"))</f>
        <v>Alta</v>
      </c>
    </row>
    <row r="39" customFormat="false" ht="32.8" hidden="false" customHeight="false" outlineLevel="0" collapsed="false">
      <c r="A39" s="4" t="n">
        <v>6</v>
      </c>
      <c r="B39" s="5" t="s">
        <v>20</v>
      </c>
      <c r="C39" s="4" t="s">
        <v>314</v>
      </c>
      <c r="D39" s="5" t="s">
        <v>315</v>
      </c>
      <c r="E39" s="5" t="s">
        <v>316</v>
      </c>
      <c r="F39" s="5" t="s">
        <v>59</v>
      </c>
      <c r="G39" s="5" t="s">
        <v>91</v>
      </c>
      <c r="H39" s="5" t="s">
        <v>59</v>
      </c>
      <c r="I39" s="4" t="s">
        <v>7</v>
      </c>
      <c r="J39" s="4" t="n">
        <v>2</v>
      </c>
      <c r="K39" s="4" t="n">
        <v>0</v>
      </c>
      <c r="L39" s="5" t="s">
        <v>59</v>
      </c>
      <c r="M39" s="5" t="s">
        <v>317</v>
      </c>
      <c r="N39" s="5" t="s">
        <v>318</v>
      </c>
      <c r="O39" s="14" t="s">
        <v>319</v>
      </c>
      <c r="P39" s="4" t="str">
        <f aca="false">IF(OR(I39="Por definir",I39="No desarrollado"),"Alta",IF(OR(L39&lt;&gt;"—",ISNUMBER(SEARCH("Pendiente",H39))),"Media","Baja"))</f>
        <v>Alta</v>
      </c>
    </row>
    <row r="40" customFormat="false" ht="32.8" hidden="false" customHeight="false" outlineLevel="0" collapsed="false">
      <c r="A40" s="4" t="n">
        <v>6</v>
      </c>
      <c r="B40" s="5" t="s">
        <v>20</v>
      </c>
      <c r="C40" s="4" t="s">
        <v>320</v>
      </c>
      <c r="D40" s="5" t="s">
        <v>321</v>
      </c>
      <c r="E40" s="5" t="s">
        <v>316</v>
      </c>
      <c r="F40" s="5" t="s">
        <v>59</v>
      </c>
      <c r="G40" s="5" t="s">
        <v>322</v>
      </c>
      <c r="H40" s="5" t="s">
        <v>59</v>
      </c>
      <c r="I40" s="4" t="s">
        <v>6</v>
      </c>
      <c r="J40" s="4" t="n">
        <v>2</v>
      </c>
      <c r="K40" s="4" t="n">
        <v>0</v>
      </c>
      <c r="L40" s="5" t="s">
        <v>316</v>
      </c>
      <c r="M40" s="5" t="s">
        <v>323</v>
      </c>
      <c r="N40" s="5" t="s">
        <v>324</v>
      </c>
      <c r="O40" s="14" t="s">
        <v>325</v>
      </c>
      <c r="P40" s="4" t="str">
        <f aca="false">IF(OR(I40="Por definir",I40="No desarrollado"),"Alta",IF(OR(L40&lt;&gt;"—",ISNUMBER(SEARCH("Pendiente",H40))),"Media","Baja"))</f>
        <v>Media</v>
      </c>
    </row>
    <row r="41" customFormat="false" ht="32.8" hidden="false" customHeight="false" outlineLevel="0" collapsed="false">
      <c r="A41" s="4" t="n">
        <v>7</v>
      </c>
      <c r="B41" s="5" t="s">
        <v>21</v>
      </c>
      <c r="C41" s="4" t="s">
        <v>326</v>
      </c>
      <c r="D41" s="5" t="s">
        <v>327</v>
      </c>
      <c r="E41" s="5" t="s">
        <v>328</v>
      </c>
      <c r="F41" s="5" t="s">
        <v>59</v>
      </c>
      <c r="G41" s="5" t="s">
        <v>329</v>
      </c>
      <c r="H41" s="5" t="s">
        <v>59</v>
      </c>
      <c r="I41" s="4" t="s">
        <v>6</v>
      </c>
      <c r="J41" s="4" t="n">
        <v>5</v>
      </c>
      <c r="K41" s="4" t="n">
        <v>0</v>
      </c>
      <c r="L41" s="5" t="s">
        <v>59</v>
      </c>
      <c r="M41" s="5" t="s">
        <v>330</v>
      </c>
      <c r="N41" s="5" t="s">
        <v>331</v>
      </c>
      <c r="O41" s="14" t="s">
        <v>332</v>
      </c>
      <c r="P41" s="4" t="str">
        <f aca="false">IF(OR(I41="Por definir",I41="No desarrollado"),"Alta",IF(OR(L41&lt;&gt;"—",ISNUMBER(SEARCH("Pendiente",H41))),"Media","Baja"))</f>
        <v>Baja</v>
      </c>
    </row>
    <row r="42" customFormat="false" ht="32.8" hidden="false" customHeight="false" outlineLevel="0" collapsed="false">
      <c r="A42" s="4" t="n">
        <v>7</v>
      </c>
      <c r="B42" s="5" t="s">
        <v>21</v>
      </c>
      <c r="C42" s="4" t="s">
        <v>333</v>
      </c>
      <c r="D42" s="5" t="s">
        <v>334</v>
      </c>
      <c r="E42" s="5" t="s">
        <v>335</v>
      </c>
      <c r="F42" s="5" t="s">
        <v>336</v>
      </c>
      <c r="G42" s="5" t="s">
        <v>337</v>
      </c>
      <c r="H42" s="5" t="s">
        <v>59</v>
      </c>
      <c r="I42" s="4" t="s">
        <v>6</v>
      </c>
      <c r="J42" s="4" t="n">
        <v>5</v>
      </c>
      <c r="K42" s="4" t="n">
        <v>0</v>
      </c>
      <c r="L42" s="5" t="s">
        <v>59</v>
      </c>
      <c r="M42" s="5" t="s">
        <v>338</v>
      </c>
      <c r="N42" s="5" t="s">
        <v>339</v>
      </c>
      <c r="O42" s="14" t="s">
        <v>340</v>
      </c>
      <c r="P42" s="4" t="str">
        <f aca="false">IF(OR(I42="Por definir",I42="No desarrollado"),"Alta",IF(OR(L42&lt;&gt;"—",ISNUMBER(SEARCH("Pendiente",H42))),"Media","Baja"))</f>
        <v>Baja</v>
      </c>
    </row>
    <row r="43" customFormat="false" ht="32.8" hidden="false" customHeight="false" outlineLevel="0" collapsed="false">
      <c r="A43" s="4" t="n">
        <v>7</v>
      </c>
      <c r="B43" s="5" t="s">
        <v>21</v>
      </c>
      <c r="C43" s="4" t="s">
        <v>341</v>
      </c>
      <c r="D43" s="5" t="s">
        <v>342</v>
      </c>
      <c r="E43" s="5" t="s">
        <v>343</v>
      </c>
      <c r="F43" s="5" t="s">
        <v>59</v>
      </c>
      <c r="G43" s="5" t="s">
        <v>344</v>
      </c>
      <c r="H43" s="5" t="s">
        <v>59</v>
      </c>
      <c r="I43" s="4" t="s">
        <v>7</v>
      </c>
      <c r="J43" s="4" t="n">
        <v>3</v>
      </c>
      <c r="K43" s="4" t="n">
        <v>0</v>
      </c>
      <c r="L43" s="5" t="s">
        <v>335</v>
      </c>
      <c r="M43" s="5" t="s">
        <v>345</v>
      </c>
      <c r="N43" s="5" t="s">
        <v>346</v>
      </c>
      <c r="O43" s="14" t="s">
        <v>347</v>
      </c>
      <c r="P43" s="4" t="str">
        <f aca="false">IF(OR(I43="Por definir",I43="No desarrollado"),"Alta",IF(OR(L43&lt;&gt;"—",ISNUMBER(SEARCH("Pendiente",H43))),"Media","Baja"))</f>
        <v>Alta</v>
      </c>
    </row>
    <row r="44" customFormat="false" ht="22.35" hidden="false" customHeight="false" outlineLevel="0" collapsed="false">
      <c r="A44" s="4" t="n">
        <v>7</v>
      </c>
      <c r="B44" s="5" t="s">
        <v>21</v>
      </c>
      <c r="C44" s="4" t="s">
        <v>348</v>
      </c>
      <c r="D44" s="5" t="s">
        <v>349</v>
      </c>
      <c r="E44" s="5" t="s">
        <v>350</v>
      </c>
      <c r="F44" s="5" t="s">
        <v>351</v>
      </c>
      <c r="G44" s="5" t="s">
        <v>352</v>
      </c>
      <c r="H44" s="5" t="s">
        <v>59</v>
      </c>
      <c r="I44" s="4" t="s">
        <v>7</v>
      </c>
      <c r="J44" s="4" t="n">
        <v>3</v>
      </c>
      <c r="K44" s="4" t="n">
        <v>0</v>
      </c>
      <c r="L44" s="5" t="s">
        <v>59</v>
      </c>
      <c r="M44" s="5" t="s">
        <v>353</v>
      </c>
      <c r="N44" s="5" t="s">
        <v>354</v>
      </c>
      <c r="O44" s="14" t="s">
        <v>355</v>
      </c>
      <c r="P44" s="4" t="str">
        <f aca="false">IF(OR(I44="Por definir",I44="No desarrollado"),"Alta",IF(OR(L44&lt;&gt;"—",ISNUMBER(SEARCH("Pendiente",H44))),"Media","Baja"))</f>
        <v>Alta</v>
      </c>
    </row>
    <row r="45" customFormat="false" ht="32.8" hidden="false" customHeight="false" outlineLevel="0" collapsed="false">
      <c r="A45" s="4" t="n">
        <v>8</v>
      </c>
      <c r="B45" s="5" t="s">
        <v>22</v>
      </c>
      <c r="C45" s="4" t="s">
        <v>356</v>
      </c>
      <c r="D45" s="5" t="s">
        <v>357</v>
      </c>
      <c r="E45" s="5" t="s">
        <v>358</v>
      </c>
      <c r="F45" s="5" t="s">
        <v>59</v>
      </c>
      <c r="G45" s="5" t="s">
        <v>359</v>
      </c>
      <c r="H45" s="5" t="s">
        <v>59</v>
      </c>
      <c r="I45" s="4" t="s">
        <v>6</v>
      </c>
      <c r="J45" s="4" t="n">
        <v>4</v>
      </c>
      <c r="K45" s="4" t="n">
        <v>0</v>
      </c>
      <c r="L45" s="5" t="s">
        <v>59</v>
      </c>
      <c r="M45" s="5" t="s">
        <v>360</v>
      </c>
      <c r="N45" s="5" t="s">
        <v>361</v>
      </c>
      <c r="O45" s="14" t="s">
        <v>362</v>
      </c>
      <c r="P45" s="4" t="str">
        <f aca="false">IF(OR(I45="Por definir",I45="No desarrollado"),"Alta",IF(OR(L45&lt;&gt;"—",ISNUMBER(SEARCH("Pendiente",H45))),"Media","Baja"))</f>
        <v>Baja</v>
      </c>
    </row>
    <row r="46" customFormat="false" ht="32.8" hidden="false" customHeight="false" outlineLevel="0" collapsed="false">
      <c r="A46" s="4" t="n">
        <v>8</v>
      </c>
      <c r="B46" s="5" t="s">
        <v>22</v>
      </c>
      <c r="C46" s="4" t="s">
        <v>363</v>
      </c>
      <c r="D46" s="5" t="s">
        <v>364</v>
      </c>
      <c r="E46" s="5" t="s">
        <v>365</v>
      </c>
      <c r="F46" s="5" t="s">
        <v>366</v>
      </c>
      <c r="G46" s="5" t="s">
        <v>367</v>
      </c>
      <c r="H46" s="5" t="s">
        <v>368</v>
      </c>
      <c r="I46" s="4" t="s">
        <v>7</v>
      </c>
      <c r="J46" s="4" t="n">
        <v>4</v>
      </c>
      <c r="K46" s="4" t="n">
        <v>0</v>
      </c>
      <c r="L46" s="5" t="s">
        <v>59</v>
      </c>
      <c r="M46" s="5" t="s">
        <v>369</v>
      </c>
      <c r="N46" s="5" t="s">
        <v>370</v>
      </c>
      <c r="O46" s="14" t="s">
        <v>371</v>
      </c>
      <c r="P46" s="4" t="str">
        <f aca="false">IF(OR(I46="Por definir",I46="No desarrollado"),"Alta",IF(OR(L46&lt;&gt;"—",ISNUMBER(SEARCH("Pendiente",H46))),"Media","Baja"))</f>
        <v>Alta</v>
      </c>
    </row>
    <row r="47" customFormat="false" ht="53.7" hidden="false" customHeight="false" outlineLevel="0" collapsed="false">
      <c r="A47" s="4" t="n">
        <v>8</v>
      </c>
      <c r="B47" s="5" t="s">
        <v>22</v>
      </c>
      <c r="C47" s="4" t="s">
        <v>372</v>
      </c>
      <c r="D47" s="5" t="s">
        <v>373</v>
      </c>
      <c r="E47" s="5" t="s">
        <v>374</v>
      </c>
      <c r="F47" s="5" t="s">
        <v>375</v>
      </c>
      <c r="G47" s="5" t="s">
        <v>376</v>
      </c>
      <c r="H47" s="5" t="s">
        <v>59</v>
      </c>
      <c r="I47" s="4" t="s">
        <v>6</v>
      </c>
      <c r="J47" s="4" t="n">
        <v>2</v>
      </c>
      <c r="K47" s="4" t="n">
        <v>0</v>
      </c>
      <c r="L47" s="5" t="s">
        <v>377</v>
      </c>
      <c r="M47" s="5" t="s">
        <v>378</v>
      </c>
      <c r="N47" s="5" t="s">
        <v>379</v>
      </c>
      <c r="O47" s="14" t="s">
        <v>380</v>
      </c>
      <c r="P47" s="4" t="str">
        <f aca="false">IF(OR(I47="Por definir",I47="No desarrollado"),"Alta",IF(OR(L47&lt;&gt;"—",ISNUMBER(SEARCH("Pendiente",H47))),"Media","Baja"))</f>
        <v>Media</v>
      </c>
    </row>
    <row r="48" customFormat="false" ht="32.8" hidden="false" customHeight="false" outlineLevel="0" collapsed="false">
      <c r="A48" s="4" t="n">
        <v>8</v>
      </c>
      <c r="B48" s="5" t="s">
        <v>22</v>
      </c>
      <c r="C48" s="4" t="s">
        <v>381</v>
      </c>
      <c r="D48" s="5" t="s">
        <v>382</v>
      </c>
      <c r="E48" s="5" t="s">
        <v>383</v>
      </c>
      <c r="F48" s="5" t="s">
        <v>384</v>
      </c>
      <c r="G48" s="5" t="s">
        <v>385</v>
      </c>
      <c r="H48" s="5" t="s">
        <v>59</v>
      </c>
      <c r="I48" s="4" t="s">
        <v>6</v>
      </c>
      <c r="J48" s="4" t="n">
        <v>3</v>
      </c>
      <c r="K48" s="4" t="n">
        <v>0</v>
      </c>
      <c r="L48" s="5" t="s">
        <v>386</v>
      </c>
      <c r="M48" s="5" t="s">
        <v>387</v>
      </c>
      <c r="N48" s="5" t="s">
        <v>388</v>
      </c>
      <c r="O48" s="14" t="s">
        <v>389</v>
      </c>
      <c r="P48" s="4" t="str">
        <f aca="false">IF(OR(I48="Por definir",I48="No desarrollado"),"Alta",IF(OR(L48&lt;&gt;"—",ISNUMBER(SEARCH("Pendiente",H48))),"Media","Baja"))</f>
        <v>Media</v>
      </c>
    </row>
    <row r="49" customFormat="false" ht="32.8" hidden="false" customHeight="false" outlineLevel="0" collapsed="false">
      <c r="A49" s="4" t="n">
        <v>8</v>
      </c>
      <c r="B49" s="5" t="s">
        <v>22</v>
      </c>
      <c r="C49" s="4" t="s">
        <v>390</v>
      </c>
      <c r="D49" s="5" t="s">
        <v>391</v>
      </c>
      <c r="E49" s="5" t="s">
        <v>392</v>
      </c>
      <c r="F49" s="5" t="s">
        <v>393</v>
      </c>
      <c r="G49" s="5" t="s">
        <v>394</v>
      </c>
      <c r="H49" s="5" t="s">
        <v>59</v>
      </c>
      <c r="I49" s="4" t="s">
        <v>7</v>
      </c>
      <c r="J49" s="4" t="n">
        <v>2</v>
      </c>
      <c r="K49" s="4" t="n">
        <v>0</v>
      </c>
      <c r="L49" s="5" t="s">
        <v>395</v>
      </c>
      <c r="M49" s="5" t="s">
        <v>396</v>
      </c>
      <c r="N49" s="5" t="s">
        <v>397</v>
      </c>
      <c r="O49" s="14" t="s">
        <v>398</v>
      </c>
      <c r="P49" s="4" t="str">
        <f aca="false">IF(OR(I49="Por definir",I49="No desarrollado"),"Alta",IF(OR(L49&lt;&gt;"—",ISNUMBER(SEARCH("Pendiente",H49))),"Media","Baja"))</f>
        <v>Alta</v>
      </c>
    </row>
    <row r="50" customFormat="false" ht="32.8" hidden="false" customHeight="false" outlineLevel="0" collapsed="false">
      <c r="A50" s="4" t="n">
        <v>8</v>
      </c>
      <c r="B50" s="5" t="s">
        <v>22</v>
      </c>
      <c r="C50" s="4" t="s">
        <v>399</v>
      </c>
      <c r="D50" s="5" t="s">
        <v>400</v>
      </c>
      <c r="E50" s="5" t="s">
        <v>401</v>
      </c>
      <c r="F50" s="5" t="s">
        <v>59</v>
      </c>
      <c r="G50" s="5" t="s">
        <v>402</v>
      </c>
      <c r="H50" s="5" t="s">
        <v>59</v>
      </c>
      <c r="I50" s="4" t="s">
        <v>6</v>
      </c>
      <c r="J50" s="4" t="n">
        <v>3</v>
      </c>
      <c r="K50" s="4" t="n">
        <v>0</v>
      </c>
      <c r="L50" s="5" t="s">
        <v>365</v>
      </c>
      <c r="M50" s="5" t="s">
        <v>403</v>
      </c>
      <c r="N50" s="5" t="s">
        <v>404</v>
      </c>
      <c r="O50" s="14" t="s">
        <v>405</v>
      </c>
      <c r="P50" s="4" t="str">
        <f aca="false">IF(OR(I50="Por definir",I50="No desarrollado"),"Alta",IF(OR(L50&lt;&gt;"—",ISNUMBER(SEARCH("Pendiente",H50))),"Media","Baja"))</f>
        <v>Media</v>
      </c>
    </row>
    <row r="51" customFormat="false" ht="32.8" hidden="false" customHeight="false" outlineLevel="0" collapsed="false">
      <c r="A51" s="4" t="n">
        <v>9</v>
      </c>
      <c r="B51" s="5" t="s">
        <v>23</v>
      </c>
      <c r="C51" s="4" t="s">
        <v>406</v>
      </c>
      <c r="D51" s="5" t="s">
        <v>407</v>
      </c>
      <c r="E51" s="5" t="s">
        <v>408</v>
      </c>
      <c r="F51" s="5" t="s">
        <v>409</v>
      </c>
      <c r="G51" s="5" t="s">
        <v>410</v>
      </c>
      <c r="H51" s="5" t="s">
        <v>411</v>
      </c>
      <c r="I51" s="4" t="s">
        <v>8</v>
      </c>
      <c r="J51" s="4" t="n">
        <v>0</v>
      </c>
      <c r="K51" s="4" t="n">
        <v>0</v>
      </c>
      <c r="L51" s="5" t="s">
        <v>408</v>
      </c>
      <c r="M51" s="5" t="s">
        <v>412</v>
      </c>
      <c r="N51" s="5" t="s">
        <v>413</v>
      </c>
      <c r="O51" s="14" t="s">
        <v>414</v>
      </c>
      <c r="P51" s="4" t="str">
        <f aca="false">IF(OR(I51="Por definir",I51="No desarrollado"),"Alta",IF(OR(L51&lt;&gt;"—",ISNUMBER(SEARCH("Pendiente",H51))),"Media","Baja"))</f>
        <v>Alta</v>
      </c>
    </row>
    <row r="52" customFormat="false" ht="22.35" hidden="false" customHeight="false" outlineLevel="0" collapsed="false">
      <c r="A52" s="4" t="n">
        <v>9</v>
      </c>
      <c r="B52" s="5" t="s">
        <v>23</v>
      </c>
      <c r="C52" s="4" t="s">
        <v>415</v>
      </c>
      <c r="D52" s="5" t="s">
        <v>416</v>
      </c>
      <c r="E52" s="5" t="s">
        <v>417</v>
      </c>
      <c r="F52" s="5" t="s">
        <v>59</v>
      </c>
      <c r="G52" s="5" t="s">
        <v>410</v>
      </c>
      <c r="H52" s="5" t="s">
        <v>411</v>
      </c>
      <c r="I52" s="4" t="s">
        <v>8</v>
      </c>
      <c r="J52" s="4" t="n">
        <v>0</v>
      </c>
      <c r="K52" s="4" t="n">
        <v>0</v>
      </c>
      <c r="L52" s="5" t="s">
        <v>417</v>
      </c>
      <c r="M52" s="5" t="s">
        <v>412</v>
      </c>
      <c r="N52" s="5" t="s">
        <v>418</v>
      </c>
      <c r="O52" s="14" t="s">
        <v>419</v>
      </c>
      <c r="P52" s="4" t="str">
        <f aca="false">IF(OR(I52="Por definir",I52="No desarrollado"),"Alta",IF(OR(L52&lt;&gt;"—",ISNUMBER(SEARCH("Pendiente",H52))),"Media","Baja"))</f>
        <v>Alta</v>
      </c>
    </row>
    <row r="53" customFormat="false" ht="43.25" hidden="false" customHeight="false" outlineLevel="0" collapsed="false">
      <c r="A53" s="4" t="n">
        <v>9</v>
      </c>
      <c r="B53" s="5" t="s">
        <v>23</v>
      </c>
      <c r="C53" s="4" t="s">
        <v>420</v>
      </c>
      <c r="D53" s="5" t="s">
        <v>421</v>
      </c>
      <c r="E53" s="5" t="s">
        <v>422</v>
      </c>
      <c r="F53" s="5" t="s">
        <v>139</v>
      </c>
      <c r="G53" s="5" t="s">
        <v>423</v>
      </c>
      <c r="H53" s="5" t="s">
        <v>424</v>
      </c>
      <c r="I53" s="4" t="s">
        <v>8</v>
      </c>
      <c r="J53" s="4" t="n">
        <v>0</v>
      </c>
      <c r="K53" s="4" t="n">
        <v>0</v>
      </c>
      <c r="L53" s="5" t="s">
        <v>422</v>
      </c>
      <c r="M53" s="5" t="s">
        <v>412</v>
      </c>
      <c r="N53" s="5" t="s">
        <v>425</v>
      </c>
      <c r="O53" s="14" t="s">
        <v>426</v>
      </c>
      <c r="P53" s="4" t="str">
        <f aca="false">IF(OR(I53="Por definir",I53="No desarrollado"),"Alta",IF(OR(L53&lt;&gt;"—",ISNUMBER(SEARCH("Pendiente",H53))),"Media","Baja"))</f>
        <v>Alta</v>
      </c>
    </row>
    <row r="54" customFormat="false" ht="22.35" hidden="false" customHeight="false" outlineLevel="0" collapsed="false">
      <c r="A54" s="4" t="n">
        <v>10</v>
      </c>
      <c r="B54" s="5" t="s">
        <v>24</v>
      </c>
      <c r="C54" s="4" t="s">
        <v>427</v>
      </c>
      <c r="D54" s="5" t="s">
        <v>428</v>
      </c>
      <c r="E54" s="5" t="s">
        <v>429</v>
      </c>
      <c r="F54" s="5" t="s">
        <v>59</v>
      </c>
      <c r="G54" s="5" t="s">
        <v>430</v>
      </c>
      <c r="H54" s="5" t="s">
        <v>59</v>
      </c>
      <c r="I54" s="4" t="s">
        <v>8</v>
      </c>
      <c r="J54" s="4" t="n">
        <v>0</v>
      </c>
      <c r="K54" s="4" t="n">
        <v>0</v>
      </c>
      <c r="L54" s="5" t="s">
        <v>429</v>
      </c>
      <c r="M54" s="5" t="s">
        <v>412</v>
      </c>
      <c r="N54" s="5" t="s">
        <v>431</v>
      </c>
      <c r="O54" s="14" t="s">
        <v>432</v>
      </c>
      <c r="P54" s="4" t="str">
        <f aca="false">IF(OR(I54="Por definir",I54="No desarrollado"),"Alta",IF(OR(L54&lt;&gt;"—",ISNUMBER(SEARCH("Pendiente",H54))),"Media","Baja"))</f>
        <v>Alta</v>
      </c>
    </row>
    <row r="55" customFormat="false" ht="22.35" hidden="false" customHeight="false" outlineLevel="0" collapsed="false">
      <c r="A55" s="4" t="n">
        <v>10</v>
      </c>
      <c r="B55" s="5" t="s">
        <v>24</v>
      </c>
      <c r="C55" s="4" t="s">
        <v>433</v>
      </c>
      <c r="D55" s="5" t="s">
        <v>434</v>
      </c>
      <c r="E55" s="5" t="s">
        <v>435</v>
      </c>
      <c r="F55" s="5" t="s">
        <v>59</v>
      </c>
      <c r="G55" s="5" t="s">
        <v>436</v>
      </c>
      <c r="H55" s="5" t="s">
        <v>59</v>
      </c>
      <c r="I55" s="4" t="s">
        <v>8</v>
      </c>
      <c r="J55" s="4" t="n">
        <v>0</v>
      </c>
      <c r="K55" s="4" t="n">
        <v>0</v>
      </c>
      <c r="L55" s="5" t="s">
        <v>435</v>
      </c>
      <c r="M55" s="5" t="s">
        <v>412</v>
      </c>
      <c r="N55" s="5" t="s">
        <v>437</v>
      </c>
      <c r="O55" s="14" t="s">
        <v>438</v>
      </c>
      <c r="P55" s="4" t="str">
        <f aca="false">IF(OR(I55="Por definir",I55="No desarrollado"),"Alta",IF(OR(L55&lt;&gt;"—",ISNUMBER(SEARCH("Pendiente",H55))),"Media","Baja"))</f>
        <v>Alta</v>
      </c>
    </row>
    <row r="56" customFormat="false" ht="15" hidden="false" customHeight="false" outlineLevel="0" collapsed="false">
      <c r="A56" s="4" t="n">
        <v>10</v>
      </c>
      <c r="B56" s="5" t="s">
        <v>24</v>
      </c>
      <c r="C56" s="4" t="s">
        <v>439</v>
      </c>
      <c r="D56" s="5" t="s">
        <v>440</v>
      </c>
      <c r="E56" s="5" t="s">
        <v>441</v>
      </c>
      <c r="F56" s="5" t="s">
        <v>59</v>
      </c>
      <c r="G56" s="5" t="s">
        <v>442</v>
      </c>
      <c r="H56" s="5" t="s">
        <v>59</v>
      </c>
      <c r="I56" s="4" t="s">
        <v>8</v>
      </c>
      <c r="J56" s="4" t="n">
        <v>0</v>
      </c>
      <c r="K56" s="4" t="n">
        <v>0</v>
      </c>
      <c r="L56" s="5" t="s">
        <v>441</v>
      </c>
      <c r="M56" s="5" t="s">
        <v>412</v>
      </c>
      <c r="N56" s="5" t="s">
        <v>443</v>
      </c>
      <c r="O56" s="14" t="s">
        <v>444</v>
      </c>
      <c r="P56" s="4" t="str">
        <f aca="false">IF(OR(I56="Por definir",I56="No desarrollado"),"Alta",IF(OR(L56&lt;&gt;"—",ISNUMBER(SEARCH("Pendiente",H56))),"Media","Baja"))</f>
        <v>Alta</v>
      </c>
    </row>
    <row r="57" customFormat="false" ht="22.35" hidden="false" customHeight="false" outlineLevel="0" collapsed="false">
      <c r="A57" s="4" t="n">
        <v>10</v>
      </c>
      <c r="B57" s="5" t="s">
        <v>24</v>
      </c>
      <c r="C57" s="4" t="s">
        <v>445</v>
      </c>
      <c r="D57" s="5" t="s">
        <v>446</v>
      </c>
      <c r="E57" s="5" t="s">
        <v>447</v>
      </c>
      <c r="F57" s="5" t="s">
        <v>59</v>
      </c>
      <c r="G57" s="5" t="s">
        <v>442</v>
      </c>
      <c r="H57" s="5" t="s">
        <v>59</v>
      </c>
      <c r="I57" s="4" t="s">
        <v>8</v>
      </c>
      <c r="J57" s="4" t="n">
        <v>0</v>
      </c>
      <c r="K57" s="4" t="n">
        <v>0</v>
      </c>
      <c r="L57" s="5" t="s">
        <v>447</v>
      </c>
      <c r="M57" s="5" t="s">
        <v>412</v>
      </c>
      <c r="N57" s="5" t="s">
        <v>448</v>
      </c>
      <c r="O57" s="14" t="s">
        <v>449</v>
      </c>
      <c r="P57" s="4" t="str">
        <f aca="false">IF(OR(I57="Por definir",I57="No desarrollado"),"Alta",IF(OR(L57&lt;&gt;"—",ISNUMBER(SEARCH("Pendiente",H57))),"Media","Baja"))</f>
        <v>Alta</v>
      </c>
    </row>
  </sheetData>
  <autoFilter ref="A4:P57"/>
  <mergeCells count="1">
    <mergeCell ref="A2:P2"/>
  </mergeCells>
  <conditionalFormatting sqref="P5:P57">
    <cfRule type="cellIs" priority="2" operator="equal" aboveAverage="0" equalAverage="0" bottom="0" percent="0" rank="0" text="" dxfId="9">
      <formula>"Alta"</formula>
    </cfRule>
    <cfRule type="cellIs" priority="3" operator="equal" aboveAverage="0" equalAverage="0" bottom="0" percent="0" rank="0" text="" dxfId="10">
      <formula>"Media"</formula>
    </cfRule>
    <cfRule type="cellIs" priority="4" operator="equal" aboveAverage="0" equalAverage="0" bottom="0" percent="0" rank="0" text="" dxfId="11">
      <formula>"Baja"</formula>
    </cfRule>
  </conditionalFormatting>
  <conditionalFormatting sqref="I5:I57">
    <cfRule type="cellIs" priority="5" operator="equal" aboveAverage="0" equalAverage="0" bottom="0" percent="0" rank="0" text="" dxfId="10">
      <formula>"Por definir"</formula>
    </cfRule>
    <cfRule type="cellIs" priority="6" operator="equal" aboveAverage="0" equalAverage="0" bottom="0" percent="0" rank="0" text="" dxfId="9">
      <formula>"No desarrollado"</formula>
    </cfRule>
  </conditionalFormatting>
  <dataValidations count="1">
    <dataValidation allowBlank="true" errorStyle="stop" operator="between" showDropDown="false" showErrorMessage="false" showInputMessage="false" sqref="I5:I57" type="list">
      <formula1>"LP,L,NL,Por definir,No desarrollado"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1A5C"/>
    <pageSetUpPr fitToPage="false"/>
  </sheetPr>
  <dimension ref="A1:F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60"/>
    <col collapsed="false" customWidth="true" hidden="false" outlineLevel="0" max="4" min="4" style="0" width="16"/>
    <col collapsed="false" customWidth="true" hidden="false" outlineLevel="0" max="5" min="5" style="0" width="12"/>
    <col collapsed="false" customWidth="true" hidden="false" outlineLevel="0" max="6" min="6" style="0" width="46"/>
  </cols>
  <sheetData>
    <row r="1" customFormat="false" ht="17.35" hidden="false" customHeight="false" outlineLevel="0" collapsed="false">
      <c r="A1" s="11" t="s">
        <v>450</v>
      </c>
    </row>
    <row r="2" customFormat="false" ht="15" hidden="false" customHeight="false" outlineLevel="0" collapsed="false">
      <c r="A2" s="2" t="s">
        <v>451</v>
      </c>
    </row>
    <row r="4" customFormat="false" ht="23.85" hidden="false" customHeight="false" outlineLevel="0" collapsed="false">
      <c r="A4" s="3" t="s">
        <v>2</v>
      </c>
      <c r="B4" s="3" t="s">
        <v>452</v>
      </c>
      <c r="C4" s="3" t="s">
        <v>453</v>
      </c>
      <c r="D4" s="3" t="s">
        <v>454</v>
      </c>
      <c r="E4" s="3" t="s">
        <v>455</v>
      </c>
      <c r="F4" s="3" t="s">
        <v>456</v>
      </c>
    </row>
    <row r="5" customFormat="false" ht="22.35" hidden="false" customHeight="false" outlineLevel="0" collapsed="false">
      <c r="A5" s="4" t="n">
        <v>1</v>
      </c>
      <c r="B5" s="5" t="s">
        <v>457</v>
      </c>
      <c r="C5" s="5" t="s">
        <v>458</v>
      </c>
      <c r="D5" s="4" t="s">
        <v>71</v>
      </c>
      <c r="E5" s="4" t="s">
        <v>459</v>
      </c>
      <c r="F5" s="5" t="s">
        <v>460</v>
      </c>
    </row>
    <row r="6" customFormat="false" ht="22.35" hidden="false" customHeight="false" outlineLevel="0" collapsed="false">
      <c r="A6" s="4" t="n">
        <v>2</v>
      </c>
      <c r="B6" s="5" t="s">
        <v>457</v>
      </c>
      <c r="C6" s="5" t="s">
        <v>461</v>
      </c>
      <c r="D6" s="4" t="s">
        <v>71</v>
      </c>
      <c r="E6" s="4" t="s">
        <v>459</v>
      </c>
      <c r="F6" s="5" t="s">
        <v>462</v>
      </c>
    </row>
    <row r="7" customFormat="false" ht="22.35" hidden="false" customHeight="false" outlineLevel="0" collapsed="false">
      <c r="A7" s="4" t="n">
        <v>3</v>
      </c>
      <c r="B7" s="5" t="s">
        <v>457</v>
      </c>
      <c r="C7" s="5" t="s">
        <v>463</v>
      </c>
      <c r="D7" s="4" t="s">
        <v>71</v>
      </c>
      <c r="E7" s="4" t="s">
        <v>459</v>
      </c>
      <c r="F7" s="5" t="s">
        <v>462</v>
      </c>
    </row>
    <row r="8" customFormat="false" ht="22.35" hidden="false" customHeight="false" outlineLevel="0" collapsed="false">
      <c r="A8" s="4" t="n">
        <v>4</v>
      </c>
      <c r="B8" s="5" t="s">
        <v>457</v>
      </c>
      <c r="C8" s="5" t="s">
        <v>464</v>
      </c>
      <c r="D8" s="4" t="s">
        <v>71</v>
      </c>
      <c r="E8" s="4" t="s">
        <v>459</v>
      </c>
      <c r="F8" s="5" t="s">
        <v>465</v>
      </c>
    </row>
    <row r="9" customFormat="false" ht="15" hidden="false" customHeight="false" outlineLevel="0" collapsed="false">
      <c r="A9" s="4" t="n">
        <v>5</v>
      </c>
      <c r="B9" s="5" t="s">
        <v>457</v>
      </c>
      <c r="C9" s="5" t="s">
        <v>466</v>
      </c>
      <c r="D9" s="4" t="s">
        <v>467</v>
      </c>
      <c r="E9" s="4" t="s">
        <v>459</v>
      </c>
      <c r="F9" s="5" t="s">
        <v>468</v>
      </c>
    </row>
    <row r="10" customFormat="false" ht="15" hidden="false" customHeight="false" outlineLevel="0" collapsed="false">
      <c r="A10" s="4" t="n">
        <v>6</v>
      </c>
      <c r="B10" s="5" t="s">
        <v>469</v>
      </c>
      <c r="C10" s="5" t="s">
        <v>470</v>
      </c>
      <c r="D10" s="4" t="s">
        <v>71</v>
      </c>
      <c r="E10" s="4" t="s">
        <v>459</v>
      </c>
      <c r="F10" s="5" t="s">
        <v>471</v>
      </c>
    </row>
    <row r="11" customFormat="false" ht="22.35" hidden="false" customHeight="false" outlineLevel="0" collapsed="false">
      <c r="A11" s="4" t="n">
        <v>7</v>
      </c>
      <c r="B11" s="5" t="s">
        <v>469</v>
      </c>
      <c r="C11" s="5" t="s">
        <v>472</v>
      </c>
      <c r="D11" s="4" t="s">
        <v>473</v>
      </c>
      <c r="E11" s="4" t="s">
        <v>459</v>
      </c>
      <c r="F11" s="5" t="s">
        <v>471</v>
      </c>
    </row>
    <row r="12" customFormat="false" ht="15" hidden="false" customHeight="false" outlineLevel="0" collapsed="false">
      <c r="A12" s="4" t="n">
        <v>8</v>
      </c>
      <c r="B12" s="5" t="s">
        <v>469</v>
      </c>
      <c r="C12" s="5" t="s">
        <v>474</v>
      </c>
      <c r="D12" s="4" t="s">
        <v>105</v>
      </c>
      <c r="E12" s="4" t="s">
        <v>459</v>
      </c>
      <c r="F12" s="5" t="s">
        <v>475</v>
      </c>
    </row>
    <row r="13" customFormat="false" ht="22.35" hidden="false" customHeight="false" outlineLevel="0" collapsed="false">
      <c r="A13" s="4" t="n">
        <v>9</v>
      </c>
      <c r="B13" s="5" t="s">
        <v>469</v>
      </c>
      <c r="C13" s="5" t="s">
        <v>476</v>
      </c>
      <c r="D13" s="4" t="s">
        <v>477</v>
      </c>
      <c r="E13" s="4" t="s">
        <v>459</v>
      </c>
      <c r="F13" s="5" t="s">
        <v>478</v>
      </c>
    </row>
    <row r="14" customFormat="false" ht="22.35" hidden="false" customHeight="false" outlineLevel="0" collapsed="false">
      <c r="A14" s="4" t="n">
        <v>10</v>
      </c>
      <c r="B14" s="5" t="s">
        <v>479</v>
      </c>
      <c r="C14" s="5" t="s">
        <v>480</v>
      </c>
      <c r="D14" s="4" t="s">
        <v>481</v>
      </c>
      <c r="E14" s="4" t="s">
        <v>459</v>
      </c>
      <c r="F14" s="5" t="s">
        <v>482</v>
      </c>
    </row>
    <row r="15" customFormat="false" ht="15" hidden="false" customHeight="false" outlineLevel="0" collapsed="false">
      <c r="A15" s="4" t="n">
        <v>11</v>
      </c>
      <c r="B15" s="5" t="s">
        <v>479</v>
      </c>
      <c r="C15" s="5" t="s">
        <v>483</v>
      </c>
      <c r="D15" s="4" t="s">
        <v>481</v>
      </c>
      <c r="E15" s="4" t="s">
        <v>459</v>
      </c>
      <c r="F15" s="5" t="s">
        <v>484</v>
      </c>
    </row>
    <row r="16" customFormat="false" ht="22.35" hidden="false" customHeight="false" outlineLevel="0" collapsed="false">
      <c r="A16" s="4" t="n">
        <v>12</v>
      </c>
      <c r="B16" s="5" t="s">
        <v>479</v>
      </c>
      <c r="C16" s="5" t="s">
        <v>485</v>
      </c>
      <c r="D16" s="4" t="s">
        <v>486</v>
      </c>
      <c r="E16" s="4" t="s">
        <v>459</v>
      </c>
      <c r="F16" s="5" t="s">
        <v>487</v>
      </c>
    </row>
    <row r="17" customFormat="false" ht="15" hidden="false" customHeight="false" outlineLevel="0" collapsed="false">
      <c r="A17" s="4" t="n">
        <v>13</v>
      </c>
      <c r="B17" s="5" t="s">
        <v>479</v>
      </c>
      <c r="C17" s="5" t="s">
        <v>488</v>
      </c>
      <c r="D17" s="4" t="s">
        <v>117</v>
      </c>
      <c r="E17" s="4" t="s">
        <v>489</v>
      </c>
      <c r="F17" s="5" t="s">
        <v>490</v>
      </c>
    </row>
    <row r="18" customFormat="false" ht="22.35" hidden="false" customHeight="false" outlineLevel="0" collapsed="false">
      <c r="A18" s="4" t="n">
        <v>14</v>
      </c>
      <c r="B18" s="5" t="s">
        <v>491</v>
      </c>
      <c r="C18" s="5" t="s">
        <v>492</v>
      </c>
      <c r="D18" s="4" t="s">
        <v>96</v>
      </c>
      <c r="E18" s="4" t="s">
        <v>489</v>
      </c>
      <c r="F18" s="5" t="s">
        <v>493</v>
      </c>
    </row>
    <row r="19" customFormat="false" ht="15" hidden="false" customHeight="false" outlineLevel="0" collapsed="false">
      <c r="A19" s="4" t="n">
        <v>15</v>
      </c>
      <c r="B19" s="5" t="s">
        <v>491</v>
      </c>
      <c r="C19" s="5" t="s">
        <v>494</v>
      </c>
      <c r="D19" s="4" t="s">
        <v>105</v>
      </c>
      <c r="E19" s="4" t="s">
        <v>459</v>
      </c>
      <c r="F19" s="5" t="s">
        <v>495</v>
      </c>
    </row>
    <row r="20" customFormat="false" ht="15" hidden="false" customHeight="false" outlineLevel="0" collapsed="false">
      <c r="A20" s="4" t="n">
        <v>16</v>
      </c>
      <c r="B20" s="5" t="s">
        <v>491</v>
      </c>
      <c r="C20" s="5" t="s">
        <v>496</v>
      </c>
      <c r="D20" s="4" t="s">
        <v>111</v>
      </c>
      <c r="E20" s="4" t="s">
        <v>459</v>
      </c>
      <c r="F20" s="5" t="s">
        <v>497</v>
      </c>
    </row>
    <row r="21" customFormat="false" ht="15" hidden="false" customHeight="false" outlineLevel="0" collapsed="false">
      <c r="A21" s="4" t="n">
        <v>17</v>
      </c>
      <c r="B21" s="5" t="s">
        <v>491</v>
      </c>
      <c r="C21" s="5" t="s">
        <v>498</v>
      </c>
      <c r="D21" s="4" t="s">
        <v>123</v>
      </c>
      <c r="E21" s="4" t="s">
        <v>489</v>
      </c>
      <c r="F21" s="5" t="s">
        <v>499</v>
      </c>
    </row>
    <row r="22" customFormat="false" ht="22.35" hidden="false" customHeight="false" outlineLevel="0" collapsed="false">
      <c r="A22" s="4" t="n">
        <v>18</v>
      </c>
      <c r="B22" s="5" t="s">
        <v>491</v>
      </c>
      <c r="C22" s="5" t="s">
        <v>500</v>
      </c>
      <c r="D22" s="4" t="s">
        <v>123</v>
      </c>
      <c r="E22" s="4" t="s">
        <v>489</v>
      </c>
      <c r="F22" s="5" t="s">
        <v>501</v>
      </c>
    </row>
    <row r="23" customFormat="false" ht="22.35" hidden="false" customHeight="false" outlineLevel="0" collapsed="false">
      <c r="A23" s="4" t="n">
        <v>19</v>
      </c>
      <c r="B23" s="5" t="s">
        <v>491</v>
      </c>
      <c r="C23" s="5" t="s">
        <v>502</v>
      </c>
      <c r="D23" s="4" t="s">
        <v>158</v>
      </c>
      <c r="E23" s="4" t="s">
        <v>489</v>
      </c>
      <c r="F23" s="5" t="s">
        <v>503</v>
      </c>
    </row>
    <row r="24" customFormat="false" ht="15" hidden="false" customHeight="false" outlineLevel="0" collapsed="false">
      <c r="A24" s="4" t="n">
        <v>20</v>
      </c>
      <c r="B24" s="5" t="s">
        <v>504</v>
      </c>
      <c r="C24" s="5" t="s">
        <v>505</v>
      </c>
      <c r="D24" s="4" t="s">
        <v>506</v>
      </c>
      <c r="E24" s="4" t="s">
        <v>459</v>
      </c>
      <c r="F24" s="5" t="s">
        <v>507</v>
      </c>
    </row>
    <row r="25" customFormat="false" ht="15" hidden="false" customHeight="false" outlineLevel="0" collapsed="false">
      <c r="A25" s="4" t="n">
        <v>21</v>
      </c>
      <c r="B25" s="5" t="s">
        <v>504</v>
      </c>
      <c r="C25" s="5" t="s">
        <v>508</v>
      </c>
      <c r="D25" s="4" t="s">
        <v>224</v>
      </c>
      <c r="E25" s="4" t="s">
        <v>489</v>
      </c>
      <c r="F25" s="5" t="s">
        <v>509</v>
      </c>
    </row>
    <row r="26" customFormat="false" ht="22.35" hidden="false" customHeight="false" outlineLevel="0" collapsed="false">
      <c r="A26" s="4" t="n">
        <v>22</v>
      </c>
      <c r="B26" s="5" t="s">
        <v>504</v>
      </c>
      <c r="C26" s="5" t="s">
        <v>510</v>
      </c>
      <c r="D26" s="4" t="s">
        <v>363</v>
      </c>
      <c r="E26" s="4" t="s">
        <v>489</v>
      </c>
      <c r="F26" s="5" t="s">
        <v>511</v>
      </c>
    </row>
    <row r="27" customFormat="false" ht="22.35" hidden="false" customHeight="false" outlineLevel="0" collapsed="false">
      <c r="A27" s="4" t="n">
        <v>23</v>
      </c>
      <c r="B27" s="5" t="s">
        <v>504</v>
      </c>
      <c r="C27" s="5" t="s">
        <v>512</v>
      </c>
      <c r="D27" s="4" t="s">
        <v>420</v>
      </c>
      <c r="E27" s="4" t="s">
        <v>489</v>
      </c>
      <c r="F27" s="5" t="s">
        <v>513</v>
      </c>
    </row>
    <row r="28" customFormat="false" ht="15" hidden="false" customHeight="false" outlineLevel="0" collapsed="false">
      <c r="A28" s="4" t="n">
        <v>24</v>
      </c>
      <c r="B28" s="5" t="s">
        <v>514</v>
      </c>
      <c r="C28" s="5" t="s">
        <v>515</v>
      </c>
      <c r="D28" s="4" t="s">
        <v>63</v>
      </c>
      <c r="E28" s="4" t="s">
        <v>489</v>
      </c>
      <c r="F28" s="5" t="s">
        <v>516</v>
      </c>
    </row>
    <row r="29" customFormat="false" ht="15" hidden="false" customHeight="false" outlineLevel="0" collapsed="false">
      <c r="A29" s="4" t="n">
        <v>25</v>
      </c>
      <c r="B29" s="5" t="s">
        <v>514</v>
      </c>
      <c r="C29" s="5" t="s">
        <v>517</v>
      </c>
      <c r="D29" s="4" t="s">
        <v>63</v>
      </c>
      <c r="E29" s="4" t="s">
        <v>489</v>
      </c>
      <c r="F29" s="5" t="s">
        <v>518</v>
      </c>
    </row>
    <row r="30" customFormat="false" ht="22.35" hidden="false" customHeight="false" outlineLevel="0" collapsed="false">
      <c r="A30" s="4" t="n">
        <v>26</v>
      </c>
      <c r="B30" s="5" t="s">
        <v>514</v>
      </c>
      <c r="C30" s="5" t="s">
        <v>519</v>
      </c>
      <c r="D30" s="4" t="s">
        <v>80</v>
      </c>
      <c r="E30" s="4" t="s">
        <v>489</v>
      </c>
      <c r="F30" s="5" t="s">
        <v>520</v>
      </c>
    </row>
    <row r="31" customFormat="false" ht="22.35" hidden="false" customHeight="false" outlineLevel="0" collapsed="false">
      <c r="A31" s="4" t="n">
        <v>27</v>
      </c>
      <c r="B31" s="5" t="s">
        <v>514</v>
      </c>
      <c r="C31" s="5" t="s">
        <v>521</v>
      </c>
      <c r="D31" s="4" t="s">
        <v>80</v>
      </c>
      <c r="E31" s="4" t="s">
        <v>489</v>
      </c>
      <c r="F31" s="5" t="s">
        <v>522</v>
      </c>
    </row>
    <row r="32" customFormat="false" ht="15" hidden="false" customHeight="false" outlineLevel="0" collapsed="false">
      <c r="A32" s="4" t="n">
        <v>28</v>
      </c>
      <c r="B32" s="5" t="s">
        <v>514</v>
      </c>
      <c r="C32" s="5" t="s">
        <v>523</v>
      </c>
      <c r="D32" s="4" t="s">
        <v>524</v>
      </c>
      <c r="E32" s="4" t="s">
        <v>489</v>
      </c>
      <c r="F32" s="5" t="s">
        <v>525</v>
      </c>
    </row>
    <row r="34" customFormat="false" ht="15" hidden="false" customHeight="false" outlineLevel="0" collapsed="false">
      <c r="A34" s="15" t="s">
        <v>526</v>
      </c>
      <c r="C34" s="16" t="n">
        <f aca="false">COUNTIF(E5:E32,"Atendida")</f>
        <v>15</v>
      </c>
    </row>
    <row r="35" customFormat="false" ht="15" hidden="false" customHeight="false" outlineLevel="0" collapsed="false">
      <c r="A35" s="15" t="s">
        <v>527</v>
      </c>
      <c r="C35" s="16" t="n">
        <f aca="false">COUNTIF(E5:E32,"Pendiente")</f>
        <v>13</v>
      </c>
    </row>
    <row r="36" customFormat="false" ht="15" hidden="false" customHeight="false" outlineLevel="0" collapsed="false">
      <c r="A36" s="15" t="s">
        <v>25</v>
      </c>
      <c r="C36" s="16" t="n">
        <f aca="false">COUNTA(E5:E32)</f>
        <v>28</v>
      </c>
    </row>
  </sheetData>
  <autoFilter ref="A4:F32"/>
  <conditionalFormatting sqref="E5:E32">
    <cfRule type="cellIs" priority="2" operator="equal" aboveAverage="0" equalAverage="0" bottom="0" percent="0" rank="0" text="" dxfId="10">
      <formula>"Pendiente"</formula>
    </cfRule>
    <cfRule type="cellIs" priority="3" operator="equal" aboveAverage="0" equalAverage="0" bottom="0" percent="0" rank="0" text="" dxfId="11">
      <formula>"Atendida"</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1A5C"/>
    <pageSetUpPr fitToPage="false"/>
  </sheetPr>
  <dimension ref="A1:I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46"/>
    <col collapsed="false" customWidth="true" hidden="false" outlineLevel="0" max="4" min="3" style="0" width="12"/>
    <col collapsed="false" customWidth="true" hidden="false" outlineLevel="0" max="5" min="5" style="0" width="18"/>
    <col collapsed="false" customWidth="true" hidden="false" outlineLevel="0" max="6" min="6" style="0" width="22"/>
    <col collapsed="false" customWidth="true" hidden="false" outlineLevel="0" max="7" min="7" style="0" width="18"/>
    <col collapsed="false" customWidth="true" hidden="false" outlineLevel="0" max="8" min="8" style="0" width="20"/>
    <col collapsed="false" customWidth="true" hidden="false" outlineLevel="0" max="9" min="9" style="0" width="60"/>
  </cols>
  <sheetData>
    <row r="1" customFormat="false" ht="17.35" hidden="false" customHeight="false" outlineLevel="0" collapsed="false">
      <c r="A1" s="11" t="s">
        <v>528</v>
      </c>
    </row>
    <row r="2" customFormat="false" ht="25.5" hidden="false" customHeight="true" outlineLevel="0" collapsed="false">
      <c r="A2" s="17" t="s">
        <v>529</v>
      </c>
      <c r="B2" s="17"/>
      <c r="C2" s="17"/>
      <c r="D2" s="17"/>
      <c r="E2" s="17"/>
      <c r="F2" s="17"/>
      <c r="G2" s="17"/>
      <c r="H2" s="17"/>
      <c r="I2" s="17"/>
    </row>
    <row r="4" customFormat="false" ht="36" hidden="false" customHeight="true" outlineLevel="0" collapsed="false">
      <c r="A4" s="3" t="s">
        <v>530</v>
      </c>
      <c r="B4" s="3" t="s">
        <v>531</v>
      </c>
      <c r="C4" s="3" t="s">
        <v>532</v>
      </c>
      <c r="D4" s="3" t="s">
        <v>533</v>
      </c>
      <c r="E4" s="3" t="s">
        <v>534</v>
      </c>
      <c r="F4" s="3" t="s">
        <v>535</v>
      </c>
      <c r="G4" s="3" t="s">
        <v>536</v>
      </c>
      <c r="H4" s="3" t="s">
        <v>537</v>
      </c>
      <c r="I4" s="13" t="s">
        <v>538</v>
      </c>
    </row>
    <row r="5" customFormat="false" ht="22.35" hidden="false" customHeight="false" outlineLevel="0" collapsed="false">
      <c r="A5" s="4" t="s">
        <v>539</v>
      </c>
      <c r="B5" s="5" t="s">
        <v>540</v>
      </c>
      <c r="C5" s="18" t="n">
        <v>0.6</v>
      </c>
      <c r="D5" s="19" t="n">
        <v>0.772</v>
      </c>
      <c r="E5" s="4" t="str">
        <f aca="false">IF(OR(C5="",D5=""),"No comparable",IF(D5&gt;=C5,"Cumple referencial","Bajo referencial"))</f>
        <v>Cumple referencial</v>
      </c>
      <c r="F5" s="5" t="s">
        <v>541</v>
      </c>
      <c r="G5" s="5" t="s">
        <v>542</v>
      </c>
      <c r="H5" s="4" t="s">
        <v>543</v>
      </c>
      <c r="I5" s="5" t="s">
        <v>544</v>
      </c>
    </row>
    <row r="6" customFormat="false" ht="15" hidden="false" customHeight="false" outlineLevel="0" collapsed="false">
      <c r="A6" s="4" t="s">
        <v>545</v>
      </c>
      <c r="B6" s="5" t="s">
        <v>546</v>
      </c>
      <c r="C6" s="18" t="n">
        <v>0.7</v>
      </c>
      <c r="D6" s="19" t="n">
        <v>0.81</v>
      </c>
      <c r="E6" s="4" t="str">
        <f aca="false">IF(OR(C6="",D6=""),"No comparable",IF(D6&gt;=C6,"Cumple referencial","Bajo referencial"))</f>
        <v>Cumple referencial</v>
      </c>
      <c r="F6" s="5" t="s">
        <v>547</v>
      </c>
      <c r="G6" s="5" t="s">
        <v>548</v>
      </c>
      <c r="H6" s="4" t="s">
        <v>549</v>
      </c>
      <c r="I6" s="5"/>
    </row>
    <row r="7" customFormat="false" ht="22.35" hidden="false" customHeight="false" outlineLevel="0" collapsed="false">
      <c r="A7" s="4" t="s">
        <v>550</v>
      </c>
      <c r="B7" s="5" t="s">
        <v>551</v>
      </c>
      <c r="C7" s="18" t="n">
        <v>0.7</v>
      </c>
      <c r="D7" s="19" t="n">
        <v>0.762</v>
      </c>
      <c r="E7" s="4" t="str">
        <f aca="false">IF(OR(C7="",D7=""),"No comparable",IF(D7&gt;=C7,"Cumple referencial","Bajo referencial"))</f>
        <v>Cumple referencial</v>
      </c>
      <c r="F7" s="5" t="s">
        <v>552</v>
      </c>
      <c r="G7" s="5" t="s">
        <v>542</v>
      </c>
      <c r="H7" s="4" t="s">
        <v>549</v>
      </c>
      <c r="I7" s="5"/>
    </row>
    <row r="8" customFormat="false" ht="15" hidden="false" customHeight="false" outlineLevel="0" collapsed="false">
      <c r="A8" s="4" t="s">
        <v>553</v>
      </c>
      <c r="B8" s="5" t="s">
        <v>554</v>
      </c>
      <c r="C8" s="18" t="n">
        <v>0.6</v>
      </c>
      <c r="D8" s="19" t="n">
        <v>0.755</v>
      </c>
      <c r="E8" s="4" t="str">
        <f aca="false">IF(OR(C8="",D8=""),"No comparable",IF(D8&gt;=C8,"Cumple referencial","Bajo referencial"))</f>
        <v>Cumple referencial</v>
      </c>
      <c r="F8" s="5" t="s">
        <v>555</v>
      </c>
      <c r="G8" s="5" t="s">
        <v>542</v>
      </c>
      <c r="H8" s="4" t="s">
        <v>549</v>
      </c>
      <c r="I8" s="5"/>
    </row>
    <row r="9" customFormat="false" ht="22.35" hidden="false" customHeight="false" outlineLevel="0" collapsed="false">
      <c r="A9" s="4" t="s">
        <v>556</v>
      </c>
      <c r="B9" s="5" t="s">
        <v>557</v>
      </c>
      <c r="C9" s="18" t="n">
        <v>0.7</v>
      </c>
      <c r="D9" s="19" t="n">
        <v>0.721</v>
      </c>
      <c r="E9" s="4" t="str">
        <f aca="false">IF(OR(C9="",D9=""),"No comparable",IF(D9&gt;=C9,"Cumple referencial","Bajo referencial"))</f>
        <v>Cumple referencial</v>
      </c>
      <c r="F9" s="5" t="s">
        <v>558</v>
      </c>
      <c r="G9" s="5" t="s">
        <v>559</v>
      </c>
      <c r="H9" s="4" t="s">
        <v>549</v>
      </c>
      <c r="I9" s="5"/>
    </row>
    <row r="10" customFormat="false" ht="22.35" hidden="false" customHeight="false" outlineLevel="0" collapsed="false">
      <c r="A10" s="4" t="s">
        <v>560</v>
      </c>
      <c r="B10" s="5" t="s">
        <v>561</v>
      </c>
      <c r="C10" s="18"/>
      <c r="D10" s="19" t="n">
        <v>0.476</v>
      </c>
      <c r="E10" s="4" t="str">
        <f aca="false">IF(OR(C10="",D10=""),"No comparable",IF(D10&gt;=C10,"Cumple referencial","Bajo referencial"))</f>
        <v>No comparable</v>
      </c>
      <c r="F10" s="5" t="s">
        <v>363</v>
      </c>
      <c r="G10" s="5" t="s">
        <v>562</v>
      </c>
      <c r="H10" s="4" t="s">
        <v>549</v>
      </c>
      <c r="I10" s="5" t="s">
        <v>563</v>
      </c>
    </row>
    <row r="11" customFormat="false" ht="22.35" hidden="false" customHeight="false" outlineLevel="0" collapsed="false">
      <c r="A11" s="4" t="s">
        <v>564</v>
      </c>
      <c r="B11" s="5" t="s">
        <v>565</v>
      </c>
      <c r="C11" s="18" t="n">
        <v>0.7</v>
      </c>
      <c r="D11" s="19" t="n">
        <v>0.731</v>
      </c>
      <c r="E11" s="4" t="str">
        <f aca="false">IF(OR(C11="",D11=""),"No comparable",IF(D11&gt;=C11,"Cumple referencial","Bajo referencial"))</f>
        <v>Cumple referencial</v>
      </c>
      <c r="F11" s="5" t="s">
        <v>566</v>
      </c>
      <c r="G11" s="5" t="s">
        <v>567</v>
      </c>
      <c r="H11" s="4" t="s">
        <v>549</v>
      </c>
      <c r="I11" s="5"/>
    </row>
    <row r="12" customFormat="false" ht="15" hidden="false" customHeight="false" outlineLevel="0" collapsed="false">
      <c r="A12" s="4" t="s">
        <v>568</v>
      </c>
      <c r="B12" s="5" t="s">
        <v>569</v>
      </c>
      <c r="C12" s="18" t="n">
        <v>0.6</v>
      </c>
      <c r="D12" s="19" t="n">
        <v>0.734</v>
      </c>
      <c r="E12" s="4" t="str">
        <f aca="false">IF(OR(C12="",D12=""),"No comparable",IF(D12&gt;=C12,"Cumple referencial","Bajo referencial"))</f>
        <v>Cumple referencial</v>
      </c>
      <c r="F12" s="5" t="s">
        <v>570</v>
      </c>
      <c r="G12" s="5" t="s">
        <v>542</v>
      </c>
      <c r="H12" s="4" t="s">
        <v>549</v>
      </c>
      <c r="I12" s="5"/>
    </row>
    <row r="13" customFormat="false" ht="15" hidden="false" customHeight="false" outlineLevel="0" collapsed="false">
      <c r="A13" s="4" t="s">
        <v>571</v>
      </c>
      <c r="B13" s="5" t="s">
        <v>572</v>
      </c>
      <c r="C13" s="18" t="n">
        <v>0.7</v>
      </c>
      <c r="D13" s="19" t="n">
        <v>0.752</v>
      </c>
      <c r="E13" s="4" t="str">
        <f aca="false">IF(OR(C13="",D13=""),"No comparable",IF(D13&gt;=C13,"Cumple referencial","Bajo referencial"))</f>
        <v>Cumple referencial</v>
      </c>
      <c r="F13" s="5" t="s">
        <v>573</v>
      </c>
      <c r="G13" s="5" t="s">
        <v>574</v>
      </c>
      <c r="H13" s="4" t="s">
        <v>549</v>
      </c>
      <c r="I13" s="5"/>
    </row>
    <row r="14" customFormat="false" ht="15" hidden="false" customHeight="false" outlineLevel="0" collapsed="false">
      <c r="A14" s="4" t="s">
        <v>575</v>
      </c>
      <c r="B14" s="5" t="s">
        <v>576</v>
      </c>
      <c r="C14" s="18" t="n">
        <v>0.8</v>
      </c>
      <c r="D14" s="19" t="n">
        <v>0.952</v>
      </c>
      <c r="E14" s="4" t="str">
        <f aca="false">IF(OR(C14="",D14=""),"No comparable",IF(D14&gt;=C14,"Cumple referencial","Bajo referencial"))</f>
        <v>Cumple referencial</v>
      </c>
      <c r="F14" s="5" t="s">
        <v>577</v>
      </c>
      <c r="G14" s="5" t="s">
        <v>578</v>
      </c>
      <c r="H14" s="4" t="s">
        <v>549</v>
      </c>
      <c r="I14" s="5"/>
    </row>
    <row r="15" customFormat="false" ht="22.35" hidden="false" customHeight="false" outlineLevel="0" collapsed="false">
      <c r="A15" s="4" t="s">
        <v>579</v>
      </c>
      <c r="B15" s="5" t="s">
        <v>580</v>
      </c>
      <c r="C15" s="18" t="n">
        <v>0.9</v>
      </c>
      <c r="D15" s="19" t="n">
        <v>0.973</v>
      </c>
      <c r="E15" s="4" t="str">
        <f aca="false">IF(OR(C15="",D15=""),"No comparable",IF(D15&gt;=C15,"Cumple referencial","Bajo referencial"))</f>
        <v>Cumple referencial</v>
      </c>
      <c r="F15" s="5" t="s">
        <v>581</v>
      </c>
      <c r="G15" s="5" t="s">
        <v>582</v>
      </c>
      <c r="H15" s="4" t="s">
        <v>549</v>
      </c>
      <c r="I15" s="5" t="s">
        <v>583</v>
      </c>
    </row>
    <row r="16" customFormat="false" ht="15" hidden="false" customHeight="false" outlineLevel="0" collapsed="false">
      <c r="A16" s="4" t="s">
        <v>584</v>
      </c>
      <c r="B16" s="5" t="s">
        <v>585</v>
      </c>
      <c r="C16" s="18" t="n">
        <v>0.7</v>
      </c>
      <c r="D16" s="19" t="n">
        <v>0.9</v>
      </c>
      <c r="E16" s="4" t="str">
        <f aca="false">IF(OR(C16="",D16=""),"No comparable",IF(D16&gt;=C16,"Cumple referencial","Bajo referencial"))</f>
        <v>Cumple referencial</v>
      </c>
      <c r="F16" s="5" t="s">
        <v>586</v>
      </c>
      <c r="G16" s="5" t="s">
        <v>587</v>
      </c>
      <c r="H16" s="4" t="s">
        <v>549</v>
      </c>
      <c r="I16" s="5"/>
    </row>
    <row r="17" customFormat="false" ht="22.35" hidden="false" customHeight="false" outlineLevel="0" collapsed="false">
      <c r="A17" s="4" t="s">
        <v>588</v>
      </c>
      <c r="B17" s="5" t="s">
        <v>589</v>
      </c>
      <c r="C17" s="18" t="n">
        <v>0.15</v>
      </c>
      <c r="D17" s="19" t="n">
        <v>0.738</v>
      </c>
      <c r="E17" s="4" t="str">
        <f aca="false">IF(OR(C17="",D17=""),"No comparable",IF(D17&gt;=C17,"Cumple referencial","Bajo referencial"))</f>
        <v>Cumple referencial</v>
      </c>
      <c r="F17" s="5" t="s">
        <v>590</v>
      </c>
      <c r="G17" s="5" t="s">
        <v>220</v>
      </c>
      <c r="H17" s="4" t="s">
        <v>549</v>
      </c>
      <c r="I17" s="5" t="s">
        <v>591</v>
      </c>
    </row>
    <row r="18" customFormat="false" ht="15" hidden="false" customHeight="false" outlineLevel="0" collapsed="false">
      <c r="A18" s="4" t="s">
        <v>244</v>
      </c>
      <c r="B18" s="5" t="s">
        <v>592</v>
      </c>
      <c r="C18" s="18" t="n">
        <v>0.2</v>
      </c>
      <c r="D18" s="19" t="n">
        <v>0.333</v>
      </c>
      <c r="E18" s="4" t="str">
        <f aca="false">IF(OR(C18="",D18=""),"No comparable",IF(D18&gt;=C18,"Cumple referencial","Bajo referencial"))</f>
        <v>Cumple referencial</v>
      </c>
      <c r="F18" s="5" t="s">
        <v>593</v>
      </c>
      <c r="G18" s="5" t="s">
        <v>594</v>
      </c>
      <c r="H18" s="4" t="s">
        <v>549</v>
      </c>
      <c r="I18" s="5"/>
    </row>
    <row r="19" customFormat="false" ht="22.35" hidden="false" customHeight="false" outlineLevel="0" collapsed="false">
      <c r="A19" s="4" t="s">
        <v>595</v>
      </c>
      <c r="B19" s="5" t="s">
        <v>596</v>
      </c>
      <c r="C19" s="18" t="n">
        <v>0.5</v>
      </c>
      <c r="D19" s="19" t="n">
        <v>0.767</v>
      </c>
      <c r="E19" s="4" t="str">
        <f aca="false">IF(OR(C19="",D19=""),"No comparable",IF(D19&gt;=C19,"Cumple referencial","Bajo referencial"))</f>
        <v>Cumple referencial</v>
      </c>
      <c r="F19" s="5" t="s">
        <v>597</v>
      </c>
      <c r="G19" s="5" t="s">
        <v>598</v>
      </c>
      <c r="H19" s="4" t="s">
        <v>549</v>
      </c>
      <c r="I19" s="5"/>
    </row>
    <row r="20" customFormat="false" ht="15" hidden="false" customHeight="false" outlineLevel="0" collapsed="false">
      <c r="A20" s="4" t="s">
        <v>599</v>
      </c>
      <c r="B20" s="5" t="s">
        <v>600</v>
      </c>
      <c r="C20" s="18" t="n">
        <v>0.7</v>
      </c>
      <c r="D20" s="19" t="n">
        <v>0.833</v>
      </c>
      <c r="E20" s="4" t="str">
        <f aca="false">IF(OR(C20="",D20=""),"No comparable",IF(D20&gt;=C20,"Cumple referencial","Bajo referencial"))</f>
        <v>Cumple referencial</v>
      </c>
      <c r="F20" s="5" t="s">
        <v>597</v>
      </c>
      <c r="G20" s="5" t="s">
        <v>587</v>
      </c>
      <c r="H20" s="4" t="s">
        <v>549</v>
      </c>
      <c r="I20" s="5"/>
    </row>
    <row r="21" customFormat="false" ht="22.35" hidden="false" customHeight="false" outlineLevel="0" collapsed="false">
      <c r="A21" s="4" t="s">
        <v>601</v>
      </c>
      <c r="B21" s="5" t="s">
        <v>602</v>
      </c>
      <c r="C21" s="18" t="n">
        <v>0.7</v>
      </c>
      <c r="D21" s="19" t="n">
        <v>0.8</v>
      </c>
      <c r="E21" s="4" t="str">
        <f aca="false">IF(OR(C21="",D21=""),"No comparable",IF(D21&gt;=C21,"Cumple referencial","Bajo referencial"))</f>
        <v>Cumple referencial</v>
      </c>
      <c r="F21" s="5" t="s">
        <v>603</v>
      </c>
      <c r="G21" s="5" t="s">
        <v>587</v>
      </c>
      <c r="H21" s="4" t="s">
        <v>549</v>
      </c>
      <c r="I21" s="5"/>
    </row>
    <row r="22" customFormat="false" ht="15" hidden="false" customHeight="false" outlineLevel="0" collapsed="false">
      <c r="A22" s="4" t="s">
        <v>604</v>
      </c>
      <c r="B22" s="5" t="s">
        <v>605</v>
      </c>
      <c r="C22" s="18" t="n">
        <v>0.75</v>
      </c>
      <c r="D22" s="19" t="n">
        <v>0.9</v>
      </c>
      <c r="E22" s="4" t="str">
        <f aca="false">IF(OR(C22="",D22=""),"No comparable",IF(D22&gt;=C22,"Cumple referencial","Bajo referencial"))</f>
        <v>Cumple referencial</v>
      </c>
      <c r="F22" s="5" t="s">
        <v>570</v>
      </c>
      <c r="G22" s="5" t="s">
        <v>587</v>
      </c>
      <c r="H22" s="4" t="s">
        <v>549</v>
      </c>
      <c r="I22" s="5"/>
    </row>
    <row r="23" customFormat="false" ht="22.35" hidden="false" customHeight="false" outlineLevel="0" collapsed="false">
      <c r="A23" s="4" t="s">
        <v>606</v>
      </c>
      <c r="B23" s="5" t="s">
        <v>607</v>
      </c>
      <c r="C23" s="18" t="n">
        <v>0.75</v>
      </c>
      <c r="D23" s="19" t="n">
        <v>0.837</v>
      </c>
      <c r="E23" s="4" t="str">
        <f aca="false">IF(OR(C23="",D23=""),"No comparable",IF(D23&gt;=C23,"Cumple referencial","Bajo referencial"))</f>
        <v>Cumple referencial</v>
      </c>
      <c r="F23" s="5" t="s">
        <v>608</v>
      </c>
      <c r="G23" s="5" t="s">
        <v>609</v>
      </c>
      <c r="H23" s="4" t="s">
        <v>549</v>
      </c>
      <c r="I23" s="5"/>
    </row>
    <row r="24" customFormat="false" ht="22.35" hidden="false" customHeight="false" outlineLevel="0" collapsed="false">
      <c r="A24" s="4" t="s">
        <v>610</v>
      </c>
      <c r="B24" s="5" t="s">
        <v>611</v>
      </c>
      <c r="C24" s="18" t="n">
        <v>0.7</v>
      </c>
      <c r="D24" s="19" t="n">
        <v>0.833</v>
      </c>
      <c r="E24" s="4" t="str">
        <f aca="false">IF(OR(C24="",D24=""),"No comparable",IF(D24&gt;=C24,"Cumple referencial","Bajo referencial"))</f>
        <v>Cumple referencial</v>
      </c>
      <c r="F24" s="5" t="s">
        <v>612</v>
      </c>
      <c r="G24" s="5" t="s">
        <v>613</v>
      </c>
      <c r="H24" s="4" t="s">
        <v>549</v>
      </c>
      <c r="I24" s="5" t="s">
        <v>614</v>
      </c>
    </row>
    <row r="25" customFormat="false" ht="15" hidden="false" customHeight="false" outlineLevel="0" collapsed="false">
      <c r="A25" s="4" t="s">
        <v>615</v>
      </c>
      <c r="B25" s="5" t="s">
        <v>616</v>
      </c>
      <c r="C25" s="18" t="n">
        <v>0.7</v>
      </c>
      <c r="D25" s="19" t="n">
        <v>0.9</v>
      </c>
      <c r="E25" s="4" t="str">
        <f aca="false">IF(OR(C25="",D25=""),"No comparable",IF(D25&gt;=C25,"Cumple referencial","Bajo referencial"))</f>
        <v>Cumple referencial</v>
      </c>
      <c r="F25" s="5" t="s">
        <v>570</v>
      </c>
      <c r="G25" s="5" t="s">
        <v>617</v>
      </c>
      <c r="H25" s="4" t="s">
        <v>549</v>
      </c>
      <c r="I25" s="5"/>
    </row>
    <row r="26" customFormat="false" ht="15" hidden="false" customHeight="false" outlineLevel="0" collapsed="false">
      <c r="A26" s="4" t="s">
        <v>618</v>
      </c>
      <c r="B26" s="5" t="s">
        <v>619</v>
      </c>
      <c r="C26" s="18" t="n">
        <v>0.7</v>
      </c>
      <c r="D26" s="19" t="n">
        <v>0.9</v>
      </c>
      <c r="E26" s="4" t="str">
        <f aca="false">IF(OR(C26="",D26=""),"No comparable",IF(D26&gt;=C26,"Cumple referencial","Bajo referencial"))</f>
        <v>Cumple referencial</v>
      </c>
      <c r="F26" s="5" t="s">
        <v>620</v>
      </c>
      <c r="G26" s="5" t="s">
        <v>617</v>
      </c>
      <c r="H26" s="4" t="s">
        <v>549</v>
      </c>
      <c r="I26" s="5" t="s">
        <v>621</v>
      </c>
    </row>
    <row r="27" customFormat="false" ht="15" hidden="false" customHeight="false" outlineLevel="0" collapsed="false">
      <c r="A27" s="4" t="s">
        <v>622</v>
      </c>
      <c r="B27" s="5" t="s">
        <v>623</v>
      </c>
      <c r="C27" s="18" t="n">
        <v>0.7</v>
      </c>
      <c r="D27" s="19" t="n">
        <v>0.9</v>
      </c>
      <c r="E27" s="4" t="str">
        <f aca="false">IF(OR(C27="",D27=""),"No comparable",IF(D27&gt;=C27,"Cumple referencial","Bajo referencial"))</f>
        <v>Cumple referencial</v>
      </c>
      <c r="F27" s="5" t="s">
        <v>566</v>
      </c>
      <c r="G27" s="5" t="s">
        <v>617</v>
      </c>
      <c r="H27" s="4" t="s">
        <v>549</v>
      </c>
      <c r="I27" s="5"/>
    </row>
    <row r="28" customFormat="false" ht="15" hidden="false" customHeight="false" outlineLevel="0" collapsed="false">
      <c r="A28" s="4" t="s">
        <v>336</v>
      </c>
      <c r="B28" s="5" t="s">
        <v>624</v>
      </c>
      <c r="C28" s="18" t="n">
        <v>0.7</v>
      </c>
      <c r="D28" s="19" t="n">
        <v>0.933</v>
      </c>
      <c r="E28" s="4" t="str">
        <f aca="false">IF(OR(C28="",D28=""),"No comparable",IF(D28&gt;=C28,"Cumple referencial","Bajo referencial"))</f>
        <v>Cumple referencial</v>
      </c>
      <c r="F28" s="5" t="s">
        <v>625</v>
      </c>
      <c r="G28" s="5" t="s">
        <v>617</v>
      </c>
      <c r="H28" s="4" t="s">
        <v>549</v>
      </c>
      <c r="I28" s="5"/>
    </row>
    <row r="29" customFormat="false" ht="22.35" hidden="false" customHeight="false" outlineLevel="0" collapsed="false">
      <c r="A29" s="4" t="s">
        <v>626</v>
      </c>
      <c r="B29" s="5" t="s">
        <v>627</v>
      </c>
      <c r="C29" s="20" t="n">
        <v>2</v>
      </c>
      <c r="D29" s="20" t="n">
        <v>4.66</v>
      </c>
      <c r="E29" s="4" t="str">
        <f aca="false">IF(OR(C29="",D29=""),"No comparable",IF(D29&lt;=C29,"Cumple referencial","Bajo referencial"))</f>
        <v>Bajo referencial</v>
      </c>
      <c r="F29" s="5" t="s">
        <v>390</v>
      </c>
      <c r="G29" s="5" t="s">
        <v>628</v>
      </c>
      <c r="H29" s="4" t="s">
        <v>549</v>
      </c>
      <c r="I29" s="5" t="s">
        <v>629</v>
      </c>
    </row>
    <row r="30" customFormat="false" ht="15" hidden="false" customHeight="false" outlineLevel="0" collapsed="false">
      <c r="A30" s="4" t="s">
        <v>630</v>
      </c>
      <c r="B30" s="5" t="s">
        <v>631</v>
      </c>
      <c r="C30" s="20" t="n">
        <v>1</v>
      </c>
      <c r="D30" s="20" t="n">
        <v>0.28</v>
      </c>
      <c r="E30" s="4" t="str">
        <f aca="false">IF(OR(C30="",D30=""),"No comparable",IF(D30&lt;=C30,"Cumple referencial","Bajo referencial"))</f>
        <v>Cumple referencial</v>
      </c>
      <c r="F30" s="5" t="s">
        <v>632</v>
      </c>
      <c r="G30" s="5" t="s">
        <v>299</v>
      </c>
      <c r="H30" s="4" t="s">
        <v>549</v>
      </c>
      <c r="I30" s="5" t="s">
        <v>633</v>
      </c>
    </row>
    <row r="31" customFormat="false" ht="15" hidden="false" customHeight="false" outlineLevel="0" collapsed="false">
      <c r="A31" s="4" t="s">
        <v>634</v>
      </c>
      <c r="B31" s="5" t="s">
        <v>635</v>
      </c>
      <c r="C31" s="18" t="n">
        <v>0.5</v>
      </c>
      <c r="D31" s="19" t="n">
        <v>0.7333</v>
      </c>
      <c r="E31" s="4" t="str">
        <f aca="false">IF(OR(C31="",D31=""),"No comparable",IF(D31&gt;=C31,"Cumple referencial","Bajo referencial"))</f>
        <v>Cumple referencial</v>
      </c>
      <c r="F31" s="5" t="s">
        <v>632</v>
      </c>
      <c r="G31" s="5" t="s">
        <v>299</v>
      </c>
      <c r="H31" s="4" t="s">
        <v>549</v>
      </c>
      <c r="I31" s="5" t="s">
        <v>621</v>
      </c>
    </row>
    <row r="32" customFormat="false" ht="22.35" hidden="false" customHeight="false" outlineLevel="0" collapsed="false">
      <c r="A32" s="4" t="s">
        <v>636</v>
      </c>
      <c r="B32" s="5" t="s">
        <v>637</v>
      </c>
      <c r="C32" s="18" t="n">
        <v>0.6</v>
      </c>
      <c r="D32" s="19" t="n">
        <v>0.006</v>
      </c>
      <c r="E32" s="4" t="str">
        <f aca="false">IF(OR(C32="",D32=""),"No comparable",IF(D32&gt;=C32,"Cumple referencial","Bajo referencial"))</f>
        <v>Bajo referencial</v>
      </c>
      <c r="F32" s="5" t="s">
        <v>638</v>
      </c>
      <c r="G32" s="5" t="s">
        <v>639</v>
      </c>
      <c r="H32" s="4" t="s">
        <v>549</v>
      </c>
      <c r="I32" s="5" t="s">
        <v>640</v>
      </c>
    </row>
    <row r="33" customFormat="false" ht="22.35" hidden="false" customHeight="false" outlineLevel="0" collapsed="false">
      <c r="A33" s="4" t="s">
        <v>641</v>
      </c>
      <c r="B33" s="5" t="s">
        <v>642</v>
      </c>
      <c r="C33" s="18" t="n">
        <v>0.7</v>
      </c>
      <c r="D33" s="19" t="n">
        <v>1</v>
      </c>
      <c r="E33" s="4" t="str">
        <f aca="false">IF(OR(C33="",D33=""),"No comparable",IF(D33&gt;=C33,"Cumple referencial","Bajo referencial"))</f>
        <v>Cumple referencial</v>
      </c>
      <c r="F33" s="5" t="s">
        <v>638</v>
      </c>
      <c r="G33" s="5" t="s">
        <v>643</v>
      </c>
      <c r="H33" s="4" t="s">
        <v>549</v>
      </c>
      <c r="I33" s="5" t="s">
        <v>644</v>
      </c>
    </row>
    <row r="35" customFormat="false" ht="15" hidden="false" customHeight="false" outlineLevel="0" collapsed="false">
      <c r="A35" s="15" t="s">
        <v>645</v>
      </c>
      <c r="D35" s="21" t="n">
        <f aca="false">COUNTIF(H5:H33,"Sí")</f>
        <v>1</v>
      </c>
    </row>
    <row r="36" customFormat="false" ht="15" hidden="false" customHeight="false" outlineLevel="0" collapsed="false">
      <c r="A36" s="15" t="s">
        <v>646</v>
      </c>
      <c r="D36" s="21" t="n">
        <f aca="false">COUNT(D5:D33)</f>
        <v>29</v>
      </c>
    </row>
    <row r="37" customFormat="false" ht="15" hidden="false" customHeight="false" outlineLevel="0" collapsed="false">
      <c r="A37" s="15" t="s">
        <v>647</v>
      </c>
      <c r="D37" s="21" t="n">
        <f aca="false">COUNTIF(E5:E33,"Bajo referencial")</f>
        <v>2</v>
      </c>
    </row>
  </sheetData>
  <autoFilter ref="A4:I33"/>
  <mergeCells count="1">
    <mergeCell ref="A2:I2"/>
  </mergeCells>
  <conditionalFormatting sqref="E5:E33">
    <cfRule type="cellIs" priority="2" operator="equal" aboveAverage="0" equalAverage="0" bottom="0" percent="0" rank="0" text="" dxfId="9">
      <formula>"Bajo referencial"</formula>
    </cfRule>
    <cfRule type="cellIs" priority="3" operator="equal" aboveAverage="0" equalAverage="0" bottom="0" percent="0" rank="0" text="" dxfId="11">
      <formula>"Cumple referencial"</formula>
    </cfRule>
    <cfRule type="cellIs" priority="4" operator="equal" aboveAverage="0" equalAverage="0" bottom="0" percent="0" rank="0" text="" dxfId="10">
      <formula>"No comparable"</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1A5C"/>
    <pageSetUpPr fitToPage="false"/>
  </sheetPr>
  <dimension ref="A1:E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78"/>
    <col collapsed="false" customWidth="true" hidden="false" outlineLevel="0" max="4" min="4" style="0" width="36"/>
    <col collapsed="false" customWidth="true" hidden="false" outlineLevel="0" max="5" min="5" style="0" width="56"/>
  </cols>
  <sheetData>
    <row r="1" customFormat="false" ht="17.35" hidden="false" customHeight="false" outlineLevel="0" collapsed="false">
      <c r="A1" s="11" t="s">
        <v>648</v>
      </c>
    </row>
    <row r="3" customFormat="false" ht="15" hidden="false" customHeight="false" outlineLevel="0" collapsed="false">
      <c r="A3" s="3" t="s">
        <v>2</v>
      </c>
      <c r="B3" s="3" t="s">
        <v>649</v>
      </c>
      <c r="C3" s="3" t="s">
        <v>538</v>
      </c>
      <c r="D3" s="3" t="s">
        <v>650</v>
      </c>
      <c r="E3" s="3" t="s">
        <v>651</v>
      </c>
    </row>
    <row r="4" customFormat="false" ht="22.35" hidden="false" customHeight="false" outlineLevel="0" collapsed="false">
      <c r="A4" s="4" t="n">
        <v>1</v>
      </c>
      <c r="B4" s="4" t="s">
        <v>652</v>
      </c>
      <c r="C4" s="5" t="s">
        <v>653</v>
      </c>
      <c r="D4" s="5" t="s">
        <v>654</v>
      </c>
      <c r="E4" s="5" t="s">
        <v>655</v>
      </c>
    </row>
    <row r="5" customFormat="false" ht="22.35" hidden="false" customHeight="false" outlineLevel="0" collapsed="false">
      <c r="A5" s="4" t="n">
        <v>2</v>
      </c>
      <c r="B5" s="4" t="s">
        <v>652</v>
      </c>
      <c r="C5" s="5" t="s">
        <v>656</v>
      </c>
      <c r="D5" s="5" t="s">
        <v>657</v>
      </c>
      <c r="E5" s="5" t="s">
        <v>658</v>
      </c>
    </row>
    <row r="6" customFormat="false" ht="22.35" hidden="false" customHeight="false" outlineLevel="0" collapsed="false">
      <c r="A6" s="4" t="n">
        <v>3</v>
      </c>
      <c r="B6" s="4" t="s">
        <v>652</v>
      </c>
      <c r="C6" s="5" t="s">
        <v>659</v>
      </c>
      <c r="D6" s="5" t="s">
        <v>660</v>
      </c>
      <c r="E6" s="5" t="s">
        <v>661</v>
      </c>
    </row>
    <row r="7" customFormat="false" ht="32.8" hidden="false" customHeight="false" outlineLevel="0" collapsed="false">
      <c r="A7" s="4" t="n">
        <v>4</v>
      </c>
      <c r="B7" s="4" t="s">
        <v>652</v>
      </c>
      <c r="C7" s="5" t="s">
        <v>662</v>
      </c>
      <c r="D7" s="5" t="s">
        <v>663</v>
      </c>
      <c r="E7" s="5" t="s">
        <v>664</v>
      </c>
    </row>
    <row r="8" customFormat="false" ht="22.35" hidden="false" customHeight="false" outlineLevel="0" collapsed="false">
      <c r="A8" s="4" t="n">
        <v>5</v>
      </c>
      <c r="B8" s="4" t="s">
        <v>652</v>
      </c>
      <c r="C8" s="5" t="s">
        <v>665</v>
      </c>
      <c r="D8" s="5" t="s">
        <v>666</v>
      </c>
      <c r="E8" s="5" t="s">
        <v>667</v>
      </c>
    </row>
    <row r="9" customFormat="false" ht="22.35" hidden="false" customHeight="false" outlineLevel="0" collapsed="false">
      <c r="A9" s="4" t="n">
        <v>6</v>
      </c>
      <c r="B9" s="4" t="s">
        <v>652</v>
      </c>
      <c r="C9" s="5" t="s">
        <v>668</v>
      </c>
      <c r="D9" s="5" t="s">
        <v>669</v>
      </c>
      <c r="E9" s="5" t="s">
        <v>670</v>
      </c>
    </row>
    <row r="10" customFormat="false" ht="22.35" hidden="false" customHeight="false" outlineLevel="0" collapsed="false">
      <c r="A10" s="4" t="n">
        <v>7</v>
      </c>
      <c r="B10" s="4" t="s">
        <v>671</v>
      </c>
      <c r="C10" s="5" t="s">
        <v>672</v>
      </c>
      <c r="D10" s="5" t="s">
        <v>673</v>
      </c>
      <c r="E10" s="5" t="s">
        <v>674</v>
      </c>
    </row>
    <row r="11" customFormat="false" ht="32.8" hidden="false" customHeight="false" outlineLevel="0" collapsed="false">
      <c r="A11" s="4" t="n">
        <v>8</v>
      </c>
      <c r="B11" s="4" t="s">
        <v>671</v>
      </c>
      <c r="C11" s="5" t="s">
        <v>675</v>
      </c>
      <c r="D11" s="5" t="s">
        <v>676</v>
      </c>
      <c r="E11" s="5" t="s">
        <v>677</v>
      </c>
    </row>
    <row r="12" customFormat="false" ht="22.35" hidden="false" customHeight="false" outlineLevel="0" collapsed="false">
      <c r="A12" s="4" t="n">
        <v>9</v>
      </c>
      <c r="B12" s="4" t="s">
        <v>671</v>
      </c>
      <c r="C12" s="5" t="s">
        <v>678</v>
      </c>
      <c r="D12" s="5" t="s">
        <v>679</v>
      </c>
      <c r="E12" s="5" t="s">
        <v>680</v>
      </c>
    </row>
    <row r="13" customFormat="false" ht="32.8" hidden="false" customHeight="false" outlineLevel="0" collapsed="false">
      <c r="A13" s="4" t="n">
        <v>10</v>
      </c>
      <c r="B13" s="4" t="s">
        <v>671</v>
      </c>
      <c r="C13" s="5" t="s">
        <v>681</v>
      </c>
      <c r="D13" s="5" t="s">
        <v>682</v>
      </c>
      <c r="E13" s="5" t="s">
        <v>683</v>
      </c>
    </row>
    <row r="14" customFormat="false" ht="22.35" hidden="false" customHeight="false" outlineLevel="0" collapsed="false">
      <c r="A14" s="4" t="n">
        <v>11</v>
      </c>
      <c r="B14" s="4" t="s">
        <v>671</v>
      </c>
      <c r="C14" s="5" t="s">
        <v>684</v>
      </c>
      <c r="D14" s="5" t="s">
        <v>682</v>
      </c>
      <c r="E14" s="5" t="s">
        <v>685</v>
      </c>
    </row>
    <row r="15" customFormat="false" ht="22.35" hidden="false" customHeight="false" outlineLevel="0" collapsed="false">
      <c r="A15" s="4" t="n">
        <v>12</v>
      </c>
      <c r="B15" s="4" t="s">
        <v>671</v>
      </c>
      <c r="C15" s="5" t="s">
        <v>686</v>
      </c>
      <c r="D15" s="5" t="s">
        <v>687</v>
      </c>
      <c r="E15" s="5" t="s">
        <v>688</v>
      </c>
    </row>
    <row r="16" customFormat="false" ht="22.35" hidden="false" customHeight="false" outlineLevel="0" collapsed="false">
      <c r="A16" s="4" t="n">
        <v>13</v>
      </c>
      <c r="B16" s="4" t="s">
        <v>671</v>
      </c>
      <c r="C16" s="5" t="s">
        <v>689</v>
      </c>
      <c r="D16" s="5" t="s">
        <v>690</v>
      </c>
      <c r="E16" s="5" t="s">
        <v>691</v>
      </c>
    </row>
    <row r="17" customFormat="false" ht="22.35" hidden="false" customHeight="false" outlineLevel="0" collapsed="false">
      <c r="A17" s="4" t="n">
        <v>14</v>
      </c>
      <c r="B17" s="4" t="s">
        <v>692</v>
      </c>
      <c r="C17" s="5" t="s">
        <v>693</v>
      </c>
      <c r="D17" s="5" t="s">
        <v>694</v>
      </c>
      <c r="E17" s="5" t="s">
        <v>695</v>
      </c>
    </row>
    <row r="18" customFormat="false" ht="22.35" hidden="false" customHeight="false" outlineLevel="0" collapsed="false">
      <c r="A18" s="4" t="n">
        <v>15</v>
      </c>
      <c r="B18" s="4" t="s">
        <v>692</v>
      </c>
      <c r="C18" s="5" t="s">
        <v>696</v>
      </c>
      <c r="D18" s="5" t="s">
        <v>697</v>
      </c>
      <c r="E18" s="5" t="s">
        <v>698</v>
      </c>
    </row>
    <row r="19" customFormat="false" ht="22.35" hidden="false" customHeight="false" outlineLevel="0" collapsed="false">
      <c r="A19" s="4" t="n">
        <v>16</v>
      </c>
      <c r="B19" s="4" t="s">
        <v>692</v>
      </c>
      <c r="C19" s="5" t="s">
        <v>699</v>
      </c>
      <c r="D19" s="5" t="s">
        <v>700</v>
      </c>
      <c r="E19" s="5" t="s">
        <v>701</v>
      </c>
    </row>
  </sheetData>
  <autoFilter ref="A3:E19"/>
  <conditionalFormatting sqref="B4:B19">
    <cfRule type="cellIs" priority="2" operator="equal" aboveAverage="0" equalAverage="0" bottom="0" percent="0" rank="0" text="" dxfId="9">
      <formula>"Alta"</formula>
    </cfRule>
    <cfRule type="cellIs" priority="3" operator="equal" aboveAverage="0" equalAverage="0" bottom="0" percent="0" rank="0" text="" dxfId="10">
      <formula>"Media"</formula>
    </cfRule>
    <cfRule type="cellIs" priority="4" operator="equal" aboveAverage="0" equalAverage="0" bottom="0" percent="0" rank="0" text="" dxfId="11">
      <formula>"Baja"</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1A5C"/>
    <pageSetUpPr fitToPage="false"/>
  </sheetPr>
  <dimension ref="A1:B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20"/>
  </cols>
  <sheetData>
    <row r="1" customFormat="false" ht="17.35" hidden="false" customHeight="false" outlineLevel="0" collapsed="false">
      <c r="A1" s="11" t="s">
        <v>702</v>
      </c>
    </row>
    <row r="3" customFormat="false" ht="23.85" hidden="false" customHeight="false" outlineLevel="0" collapsed="false">
      <c r="A3" s="22" t="s">
        <v>700</v>
      </c>
      <c r="B3" s="23" t="s">
        <v>703</v>
      </c>
    </row>
    <row r="4" customFormat="false" ht="23.85" hidden="false" customHeight="false" outlineLevel="0" collapsed="false">
      <c r="A4" s="22" t="s">
        <v>704</v>
      </c>
      <c r="B4" s="23" t="s">
        <v>705</v>
      </c>
    </row>
    <row r="5" customFormat="false" ht="23.85" hidden="false" customHeight="false" outlineLevel="0" collapsed="false">
      <c r="A5" s="22" t="s">
        <v>706</v>
      </c>
      <c r="B5" s="23" t="s">
        <v>707</v>
      </c>
    </row>
    <row r="6" customFormat="false" ht="15" hidden="false" customHeight="false" outlineLevel="0" collapsed="false">
      <c r="A6" s="22" t="s">
        <v>708</v>
      </c>
      <c r="B6" s="23" t="s">
        <v>709</v>
      </c>
    </row>
    <row r="7" customFormat="false" ht="23.85" hidden="false" customHeight="false" outlineLevel="0" collapsed="false">
      <c r="A7" s="22" t="s">
        <v>710</v>
      </c>
      <c r="B7" s="23" t="s">
        <v>711</v>
      </c>
    </row>
    <row r="8" customFormat="false" ht="15" hidden="false" customHeight="false" outlineLevel="0" collapsed="false">
      <c r="A8" s="22" t="s">
        <v>712</v>
      </c>
      <c r="B8" s="23" t="s">
        <v>713</v>
      </c>
    </row>
    <row r="9" customFormat="false" ht="23.85" hidden="false" customHeight="false" outlineLevel="0" collapsed="false">
      <c r="A9" s="22" t="s">
        <v>714</v>
      </c>
      <c r="B9" s="23" t="s">
        <v>715</v>
      </c>
    </row>
    <row r="10" customFormat="false" ht="23.85" hidden="false" customHeight="false" outlineLevel="0" collapsed="false">
      <c r="A10" s="22" t="s">
        <v>716</v>
      </c>
      <c r="B10" s="23" t="s">
        <v>717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2026-10-20T17:42:44Z</dcterms:created>
  <dc:creator>openpyxl</dc:creator>
  <dc:description/>
  <dc:language>en-US</dc:language>
  <cp:lastModifiedBy/>
  <dcterms:modified xsi:type="dcterms:W3CDTF">2026-10-20T17:42:45Z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