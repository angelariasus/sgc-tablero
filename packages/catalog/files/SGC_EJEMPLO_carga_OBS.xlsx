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ortada" sheetId="2" state="visible" r:id="rId2"/>
    <sheet xmlns:r="http://schemas.openxmlformats.org/officeDocument/2006/relationships" name="Carga_Indicadores" sheetId="3" state="visible" r:id="rId3"/>
    <sheet xmlns:r="http://schemas.openxmlformats.org/officeDocument/2006/relationships" name="Evidencias" sheetId="4" state="visible" r:id="rId4"/>
    <sheet xmlns:r="http://schemas.openxmlformats.org/officeDocument/2006/relationships" name="Alcance" sheetId="5" state="visible" r:id="rId5"/>
    <sheet xmlns:r="http://schemas.openxmlformats.org/officeDocument/2006/relationships" name="Criterios" sheetId="6" state="visible" r:id="rId6"/>
    <sheet xmlns:r="http://schemas.openxmlformats.org/officeDocument/2006/relationships" name="Valores_informe" sheetId="7" state="visible" r:id="rId7"/>
    <sheet xmlns:r="http://schemas.openxmlformats.org/officeDocument/2006/relationships" name="Parametros" sheetId="8" state="visible" r:id="rId8"/>
    <sheet xmlns:r="http://schemas.openxmlformats.org/officeDocument/2006/relationships" name="Reglas_alertas" sheetId="9" state="visible" r:id="rId9"/>
    <sheet xmlns:r="http://schemas.openxmlformats.org/officeDocument/2006/relationships" name="Metas_Umbrales" sheetId="10" state="visible" r:id="rId10"/>
    <sheet xmlns:r="http://schemas.openxmlformats.org/officeDocument/2006/relationships" name="Catalogo" sheetId="11" state="visible" r:id="rId11"/>
    <sheet xmlns:r="http://schemas.openxmlformats.org/officeDocument/2006/relationships" name="Relaciones" sheetId="12" state="visible" r:id="rId12"/>
    <sheet xmlns:r="http://schemas.openxmlformats.org/officeDocument/2006/relationships" name="Listas" sheetId="13" state="visible" r:id="rId13"/>
    <sheet xmlns:r="http://schemas.openxmlformats.org/officeDocument/2006/relationships" name="Ref_EV" sheetId="14" state="hidden" r:id="rId14"/>
  </sheets>
  <definedNames>
    <definedName name="CONEAU_EV_ID">Ref_EV!$A$2:$A$53</definedName>
    <definedName name="CONEAU_EV_EST">Ref_EV!$B$2:$B$53</definedName>
    <definedName name="CONEAU_EV_DESC">Ref_EV!$C$2:$C$53</definedName>
    <definedName name="_xlnm._FilterDatabase" localSheetId="2" hidden="1">'Carga_Indicadores'!$A$4:$Y$604</definedName>
    <definedName name="_xlnm._FilterDatabase" localSheetId="3" hidden="1">'Evidencias'!$A$4:$J$264</definedName>
    <definedName name="_xlnm._FilterDatabase" localSheetId="5" hidden="1">'Criterios'!$A$4:$P$57</definedName>
    <definedName name="_xlnm._FilterDatabase" localSheetId="6" hidden="1">'Valores_informe'!$A$4:$Q$33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2E1A5C"/>
      <sz val="16"/>
    </font>
    <font>
      <name val="Calibri"/>
      <i val="1"/>
      <color rgb="004A4160"/>
      <sz val="10"/>
    </font>
    <font>
      <name val="Calibri"/>
      <b val="1"/>
      <color rgb="001F1633"/>
      <sz val="11"/>
    </font>
    <font>
      <name val="Calibri"/>
      <color rgb="001F1633"/>
      <sz val="11"/>
    </font>
    <font>
      <name val="Calibri"/>
      <b val="1"/>
      <color rgb="00FFFFFF"/>
      <sz val="11"/>
    </font>
    <font>
      <name val="Calibri"/>
      <color rgb="001F3A93"/>
      <sz val="11"/>
    </font>
  </fonts>
  <fills count="5">
    <fill>
      <patternFill/>
    </fill>
    <fill>
      <patternFill patternType="gray125"/>
    </fill>
    <fill>
      <patternFill patternType="solid">
        <fgColor rgb="002E1A5C"/>
      </patternFill>
    </fill>
    <fill>
      <patternFill patternType="solid">
        <fgColor rgb="00FFF9E1"/>
      </patternFill>
    </fill>
    <fill>
      <patternFill patternType="solid">
        <fgColor rgb="006B6580"/>
      </patternFill>
    </fill>
  </fills>
  <borders count="3">
    <border>
      <left/>
      <right/>
      <top/>
      <bottom/>
      <diagonal/>
    </border>
    <border>
      <bottom style="medium">
        <color rgb="00C9A24B"/>
      </bottom>
    </border>
    <border>
      <left style="thin">
        <color rgb="00C9C2D9"/>
      </left>
      <right style="thin">
        <color rgb="00C9C2D9"/>
      </right>
      <top style="thin">
        <color rgb="00C9C2D9"/>
      </top>
      <bottom style="thin">
        <color rgb="00C9C2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2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6" fillId="3" borderId="2" applyProtection="1" pivotButton="0" quotePrefix="0" xfId="0">
      <protection locked="0" hidden="0"/>
    </xf>
    <xf numFmtId="164" fontId="6" fillId="3" borderId="2" applyProtection="1" pivotButton="0" quotePrefix="0" xfId="0">
      <protection locked="0" hidden="0"/>
    </xf>
    <xf numFmtId="0" fontId="5" fillId="4" borderId="2" applyAlignment="1" pivotButton="0" quotePrefix="0" xfId="0">
      <alignment horizontal="left" vertical="center" wrapText="1"/>
    </xf>
    <xf numFmtId="0" fontId="4" fillId="0" borderId="2" pivotButton="0" quotePrefix="0" xfId="0"/>
    <xf numFmtId="2" fontId="4" fillId="0" borderId="2" pivotButton="0" quotePrefix="0" xfId="0"/>
    <xf numFmtId="0" fontId="4" fillId="0" borderId="0" pivotButton="0" quotePrefix="0" xfId="0"/>
    <xf numFmtId="0" fontId="4" fillId="0" borderId="2" applyAlignment="1" pivotButton="0" quotePrefix="0" xfId="0">
      <alignment vertical="top" wrapText="1"/>
    </xf>
    <xf numFmtId="49" fontId="4" fillId="0" borderId="2" applyAlignment="1" pivotButton="0" quotePrefix="0" xfId="0">
      <alignment vertical="top" wrapText="1"/>
    </xf>
    <xf numFmtId="0" fontId="6" fillId="3" borderId="2" applyAlignment="1" applyProtection="1" pivotButton="0" quotePrefix="0" xfId="0">
      <alignment vertical="top" wrapText="1"/>
      <protection locked="0" hidden="0"/>
    </xf>
    <xf numFmtId="49" fontId="6" fillId="3" borderId="2" applyProtection="1" pivotButton="0" quotePrefix="0" xfId="0">
      <protection locked="0" hidden="0"/>
    </xf>
  </cellXfs>
  <cellStyles count="1">
    <cellStyle name="Normal" xfId="0" builtinId="0" hidden="0"/>
  </cellStyles>
  <dxfs count="2">
    <dxf>
      <font>
        <b val="1"/>
        <color rgb="009A1F2B"/>
      </font>
      <fill>
        <patternFill patternType="solid">
          <bgColor rgb="00FBE3E5"/>
        </patternFill>
      </fill>
    </dxf>
    <dxf>
      <font>
        <b val="1"/>
        <color rgb="001E5E4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SGC · Plantilla de carga por escuela</t>
        </is>
      </c>
    </row>
    <row r="2">
      <c r="A2" s="2" t="inlineStr">
        <is>
          <t>Versión 0.6, 20-10-2026. Propuesta [CP] para las Escuelas de Tecnología Médica, Enfermería y Obstetricia · Facultad de Medicina, UNMSM</t>
        </is>
      </c>
    </row>
    <row r="4" ht="34" customHeight="1">
      <c r="A4" s="3" t="inlineStr">
        <is>
          <t>Para qué sirve</t>
        </is>
      </c>
      <c r="B4" s="4" t="inlineStr">
        <is>
          <t>Cada escuela carga aquí sus mediciones, el estado de sus evidencias y su alcance. El tablero HTML consolida los archivos de las tres escuelas (y el de la Facultad) y calcula estados, alertas y trazabilidad.</t>
        </is>
      </c>
    </row>
    <row r="5" ht="34" customHeight="1">
      <c r="A5" s="3" t="inlineStr">
        <is>
          <t>Qué se llena</t>
        </is>
      </c>
      <c r="B5" s="4" t="inlineStr">
        <is>
          <t>Solo las celdas azules sobre fondo amarillo claro. Hojas: Portada (1 vez), Carga_Indicadores (una fila por indicador, periodo y área), Evidencias (EV1 a EV52 por área), Alcance (qué indicadores se vigilan), Criterios (53 criterios del modelo; «sin dato» hasta que haya informe) y Valores_informe (29 ID; solo referencia).</t>
        </is>
      </c>
    </row>
    <row r="6" ht="34" customHeight="1">
      <c r="A6" s="3" t="inlineStr">
        <is>
          <t>Qué NO se toca</t>
        </is>
      </c>
      <c r="B6" s="4" t="inlineStr">
        <is>
          <t>Catalogo, Listas y Relaciones son de consulta. Parametros, Reglas_alertas y Metas_Umbrales las edita el comité de calidad de la Facultad: si cambias algo, cambia la fecha_parametros.</t>
        </is>
      </c>
    </row>
    <row r="7" ht="34" customHeight="1">
      <c r="A7" s="3" t="inlineStr">
        <is>
          <t>Regla de oro</t>
        </is>
      </c>
      <c r="B7" s="4" t="inlineStr">
        <is>
          <t>Todo dato lleva su fuente (columna fuente_dato). Una fila sin fuente no se muestra como dato en el tablero. Una meta propuesta lleva su fuente_meta; sin fuente se ignora.</t>
        </is>
      </c>
    </row>
    <row r="8" ht="34" customHeight="1">
      <c r="A8" s="3" t="inlineStr">
        <is>
          <t>Periodos</t>
        </is>
      </c>
      <c r="B8" s="4" t="inlineStr">
        <is>
          <t>Anual 2025 · semestre 2025-S1 · trimestre 2025-T2 · mes 2026-02. El tablero compara por la fecha de cierre del periodo. El calendario académico de la UNMSM está por confirmar [CP].</t>
        </is>
      </c>
    </row>
    <row r="9" ht="34" customHeight="1">
      <c r="A9" s="3" t="inlineStr">
        <is>
          <t>Avance esperado</t>
        </is>
      </c>
      <c r="B9" s="4" t="inlineStr">
        <is>
          <t>Para indicadores que se acumulan en el año (en Metas_Umbrales, tipo_avance = Acumulado en el año), el tablero compara con lo esperado a la fecha de corte y no con la meta anual, para evitar falsos rojos con datos parciales. Si tienes el esperado a la fecha (por ejemplo, lo programado acumulado en el plan operativo), escríbelo en esperado_a_fecha con su fuente_esperado. Si no lo traes, en los indicadores del PE FM el tablero usa el programado acumulado al corte del POI mensual de la Facultad (no el 0,5 del año); sin POI mensual vinculado el indicador queda «En seguimiento», no en rojo. Los indicadores Puntuales se comparan directo con la meta.</t>
        </is>
      </c>
    </row>
    <row r="10" ht="34" customHeight="1">
      <c r="A10" s="3" t="inlineStr">
        <is>
          <t>Regla de cumplimiento</t>
        </is>
      </c>
      <c r="B10" s="4" t="inlineStr">
        <is>
          <t>En Metas_Umbrales, regla_cumplimiento: «Razón al esperado» (lo habitual); en los tiempos ID25 e ID26 cumple si el valor es menor o igual al referencial; en la variación ID6 cumple si no es negativa. La ficha del Modelo dice «menor a» en ID25 e ID26: el caso de igualdad está por confirmar con la OCAA.</t>
        </is>
      </c>
    </row>
    <row r="11" ht="34" customHeight="1">
      <c r="A11" s="3" t="inlineStr">
        <is>
          <t>Formatos oficiales</t>
        </is>
      </c>
      <c r="B11" s="4" t="inlineStr">
        <is>
          <t>Esta plantilla es una propuesta de carga: no es un formato oficial de la UNMSM ni de la Facultad, y no lleva código de formato. Donde exista un formato oficial (Manual FM, UPPR) se usará y se citará su código. Códigos y formato por confirmar con la UPPR.</t>
        </is>
      </c>
    </row>
    <row r="12" ht="34" customHeight="1">
      <c r="A12" s="3" t="inlineStr">
        <is>
          <t>Valor</t>
        </is>
      </c>
      <c r="B12" s="4" t="inlineStr">
        <is>
          <t>Escribe numerador y denominador (el valor se calcula, ×100 si la unidad es %) o escribe el valor directo. No escribas el signo %.</t>
        </is>
      </c>
    </row>
    <row r="13" ht="34" customHeight="1">
      <c r="A13" s="3" t="inlineStr">
        <is>
          <t>Estado de validación</t>
        </is>
      </c>
      <c r="B13" s="4" t="inlineStr">
        <is>
          <t>Borrador (recién cargado) · Observado (con reparo) · Validado (revisado por quien corresponde; indica quién y cuándo).</t>
        </is>
      </c>
    </row>
    <row r="14" ht="34" customHeight="1">
      <c r="A14" s="3" t="inlineStr">
        <is>
          <t>Evidencia</t>
        </is>
      </c>
      <c r="B14" s="4" t="inlineStr">
        <is>
          <t>Código EV del modelo CONEAU (lista desplegable) y la referencia del archivo o enlace donde está. Sin evidencia, el tablero genera una alerta.</t>
        </is>
      </c>
    </row>
    <row r="15" ht="34" customHeight="1">
      <c r="A15" s="3" t="inlineStr">
        <is>
          <t>Datos de ejemplo</t>
        </is>
      </c>
      <c r="B15" s="4" t="inlineStr">
        <is>
          <t>Las filas con origen EJEMPLO son inventadas para probar el tablero. El interruptor del tablero las apaga. Bórralas antes de cargar datos reales.</t>
        </is>
      </c>
    </row>
    <row r="16" ht="34" customHeight="1">
      <c r="A16" s="3" t="inlineStr">
        <is>
          <t>Desagregación del POI</t>
        </is>
      </c>
      <c r="B16" s="4" t="inlineStr">
        <is>
          <t>Las actividades operativas (AOI) del POI son compartidas por la Facultad: no se cargan por escuela. La desagregación por escuela está por confirmar con la UPPR.</t>
        </is>
      </c>
    </row>
    <row r="17" ht="34" customHeight="1">
      <c r="A17" s="3" t="inlineStr">
        <is>
          <t>Colores</t>
        </is>
      </c>
      <c r="B17" s="4" t="inlineStr">
        <is>
          <t>Amarillo claro con letra azul: se llena. Encabezado gris: columna calculada. Encabezado violeta: dato de entrada.</t>
        </is>
      </c>
    </row>
    <row r="18" ht="34" customHeight="1">
      <c r="A18" s="3" t="inlineStr">
        <is>
          <t>Fuentes</t>
        </is>
      </c>
      <c r="B18" s="4" t="inlineStr">
        <is>
          <t>A4 modelo CONEAU 2026; A8 MAGPROF; A11 PE FM 2024-2027; A12 PEI UNMSM 2026-2030; A14, A15, A16 reportes del POI. Claves completas en el tablero.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70" customWidth="1" min="3" max="3"/>
  </cols>
  <sheetData>
    <row r="1">
      <c r="A1" s="1" t="inlineStr">
        <is>
          <t>Portada del archivo de carga</t>
        </is>
      </c>
    </row>
    <row r="2">
      <c r="A2" s="2" t="inlineStr">
        <is>
          <t>Se llena una vez por archivo.</t>
        </is>
      </c>
    </row>
    <row r="4" ht="32" customHeight="1">
      <c r="A4" s="5" t="inlineStr">
        <is>
          <t>campo</t>
        </is>
      </c>
      <c r="B4" s="5" t="inlineStr">
        <is>
          <t>valor</t>
        </is>
      </c>
      <c r="C4" s="5" t="inlineStr">
        <is>
          <t>ayuda</t>
        </is>
      </c>
    </row>
    <row r="5">
      <c r="A5" s="6" t="inlineStr">
        <is>
          <t>version_plantilla</t>
        </is>
      </c>
      <c r="B5" t="inlineStr">
        <is>
          <t>0.6</t>
        </is>
      </c>
      <c r="C5" s="7" t="inlineStr">
        <is>
          <t>No se cambia. El tablero la lee para saber si el archivo es compatible.</t>
        </is>
      </c>
    </row>
    <row r="6">
      <c r="A6" s="6" t="inlineStr">
        <is>
          <t>escuela_id</t>
        </is>
      </c>
      <c r="B6" s="8" t="inlineStr">
        <is>
          <t>OBS</t>
        </is>
      </c>
      <c r="C6" s="7" t="inlineStr">
        <is>
          <t>Elige ENF, OBS, TM o FAC (Facultad, marco común).</t>
        </is>
      </c>
    </row>
    <row r="7">
      <c r="A7" s="6" t="inlineStr">
        <is>
          <t>nombre_escuela</t>
        </is>
      </c>
      <c r="B7">
        <f>IFERROR(INDEX(Listas!$G$2:$G$5,MATCH(B6,Listas!$F$2:$F$5,0)),"")</f>
        <v/>
      </c>
      <c r="C7" s="7" t="inlineStr">
        <is>
          <t>Se calcula.</t>
        </is>
      </c>
    </row>
    <row r="8">
      <c r="A8" s="6" t="inlineStr">
        <is>
          <t>responsable_calidad</t>
        </is>
      </c>
      <c r="B8" s="8" t="inlineStr">
        <is>
          <t>EJEMPLO Coordinación de calidad</t>
        </is>
      </c>
      <c r="C8" s="7" t="inlineStr">
        <is>
          <t>Persona que entrega el archivo. Cargo, no datos personales sensibles.</t>
        </is>
      </c>
    </row>
    <row r="9">
      <c r="A9" s="6" t="inlineStr">
        <is>
          <t>fecha_entrega</t>
        </is>
      </c>
      <c r="B9" s="9" t="n">
        <v>46309</v>
      </c>
      <c r="C9" s="7" t="inlineStr">
        <is>
          <t>Fecha en que se entrega el archivo.</t>
        </is>
      </c>
    </row>
    <row r="10">
      <c r="A10" s="6" t="inlineStr">
        <is>
          <t>nota</t>
        </is>
      </c>
      <c r="B10" s="8" t="inlineStr">
        <is>
          <t>EJEMPLO: datos inventados para probar el tablero</t>
        </is>
      </c>
      <c r="C10" s="7" t="inlineStr">
        <is>
          <t>Libre.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1">
    <dataValidation sqref="B6" showDropDown="0" showInputMessage="0" showErrorMessage="1" allowBlank="0" errorTitle="Escuela" error="Elige ENF, OBS, TM o FAC" type="list">
      <formula1>"ENF,OBS,TM,FAC"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/>
  </sheetPr>
  <dimension ref="A1:Y6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36" customWidth="1" min="9" max="9"/>
    <col width="11" customWidth="1" min="10" max="10"/>
    <col width="28" customWidth="1" min="11" max="11"/>
    <col width="26" customWidth="1" min="12" max="12"/>
    <col width="12" customWidth="1" min="13" max="13"/>
    <col width="14" customWidth="1" min="14" max="14"/>
    <col width="26" customWidth="1" min="15" max="15"/>
    <col width="13" customWidth="1" min="16" max="16"/>
    <col width="9" customWidth="1" min="17" max="17"/>
    <col width="30" customWidth="1" min="18" max="18"/>
    <col width="10" customWidth="1" min="19" max="19"/>
    <col width="13" customWidth="1" min="20" max="20"/>
    <col width="34" customWidth="1" min="21" max="21"/>
    <col width="44" customWidth="1" min="22" max="22"/>
    <col width="8" customWidth="1" min="23" max="23"/>
    <col width="12" customWidth="1" min="24" max="24"/>
    <col width="28" customWidth="1" min="25" max="25"/>
  </cols>
  <sheetData>
    <row r="1">
      <c r="A1" s="1" t="inlineStr">
        <is>
          <t>Carga de indicadores</t>
        </is>
      </c>
    </row>
    <row r="2">
      <c r="A2" s="2" t="inlineStr">
        <is>
          <t>Una fila por indicador, periodo y área. Amarillo: se llena. Gris: se calcula. Sin fuente_dato, la fila no se muestra como dato en el tablero.</t>
        </is>
      </c>
    </row>
    <row r="4" ht="32" customHeight="1">
      <c r="A4" s="5" t="inlineStr">
        <is>
          <t>periodo</t>
        </is>
      </c>
      <c r="B4" s="5" t="inlineStr">
        <is>
          <t>area_id</t>
        </is>
      </c>
      <c r="C4" s="5" t="inlineStr">
        <is>
          <t>indicador_id</t>
        </is>
      </c>
      <c r="D4" s="5" t="inlineStr">
        <is>
          <t>numerador</t>
        </is>
      </c>
      <c r="E4" s="5" t="inlineStr">
        <is>
          <t>denominador</t>
        </is>
      </c>
      <c r="F4" s="5" t="inlineStr">
        <is>
          <t>valor_directo</t>
        </is>
      </c>
      <c r="G4" s="5" t="inlineStr">
        <is>
          <t>meta_propuesta</t>
        </is>
      </c>
      <c r="H4" s="5" t="inlineStr">
        <is>
          <t>fuente_meta</t>
        </is>
      </c>
      <c r="I4" s="5" t="inlineStr">
        <is>
          <t>fuente_dato</t>
        </is>
      </c>
      <c r="J4" s="5" t="inlineStr">
        <is>
          <t>evidencia_ev</t>
        </is>
      </c>
      <c r="K4" s="5" t="inlineStr">
        <is>
          <t>evidencia_ref</t>
        </is>
      </c>
      <c r="L4" s="5" t="inlineStr">
        <is>
          <t>responsable_carga</t>
        </is>
      </c>
      <c r="M4" s="5" t="inlineStr">
        <is>
          <t>fecha_carga</t>
        </is>
      </c>
      <c r="N4" s="5" t="inlineStr">
        <is>
          <t>estado_validacion</t>
        </is>
      </c>
      <c r="O4" s="5" t="inlineStr">
        <is>
          <t>validado_por</t>
        </is>
      </c>
      <c r="P4" s="5" t="inlineStr">
        <is>
          <t>fecha_validacion</t>
        </is>
      </c>
      <c r="Q4" s="5" t="inlineStr">
        <is>
          <t>version_dato</t>
        </is>
      </c>
      <c r="R4" s="5" t="inlineStr">
        <is>
          <t>observacion</t>
        </is>
      </c>
      <c r="S4" s="5" t="inlineStr">
        <is>
          <t>origen</t>
        </is>
      </c>
      <c r="T4" s="5" t="inlineStr">
        <is>
          <t>esperado_a_fecha</t>
        </is>
      </c>
      <c r="U4" s="5" t="inlineStr">
        <is>
          <t>fuente_esperado</t>
        </is>
      </c>
      <c r="V4" s="10" t="inlineStr">
        <is>
          <t>indicador</t>
        </is>
      </c>
      <c r="W4" s="10" t="inlineStr">
        <is>
          <t>unidad</t>
        </is>
      </c>
      <c r="X4" s="10" t="inlineStr">
        <is>
          <t>valor_calculado</t>
        </is>
      </c>
      <c r="Y4" s="10" t="inlineStr">
        <is>
          <t>control</t>
        </is>
      </c>
    </row>
    <row r="5">
      <c r="A5" s="8" t="inlineStr">
        <is>
          <t>2023</t>
        </is>
      </c>
      <c r="B5" s="8" t="n"/>
      <c r="C5" s="8" t="inlineStr">
        <is>
          <t>ID1</t>
        </is>
      </c>
      <c r="D5" s="8" t="n">
        <v>47</v>
      </c>
      <c r="E5" s="8" t="n">
        <v>85</v>
      </c>
      <c r="F5" s="8" t="n"/>
      <c r="G5" s="8" t="n"/>
      <c r="H5" s="8" t="n"/>
      <c r="I5" s="8" t="inlineStr">
        <is>
          <t>EJEMPLO Encuesta o registro de la escuela, periodo 2023</t>
        </is>
      </c>
      <c r="J5" s="8" t="n"/>
      <c r="K5" s="8" t="n"/>
      <c r="L5" s="8" t="inlineStr">
        <is>
          <t>EJEMPLO Coord. de calidad de Obstetricia</t>
        </is>
      </c>
      <c r="M5" s="9" t="n">
        <v>45299</v>
      </c>
      <c r="N5" s="8" t="inlineStr">
        <is>
          <t>Validado</t>
        </is>
      </c>
      <c r="O5" s="8" t="inlineStr">
        <is>
          <t>EJEMPLO Dirección de Escuela de Obstetricia</t>
        </is>
      </c>
      <c r="P5" s="9" t="n">
        <v>45308</v>
      </c>
      <c r="Q5" s="8" t="n">
        <v>1</v>
      </c>
      <c r="R5" s="8" t="n"/>
      <c r="S5" s="8" t="inlineStr">
        <is>
          <t>EJEMPLO</t>
        </is>
      </c>
      <c r="T5" s="8" t="n"/>
      <c r="U5" s="8" t="n"/>
      <c r="V5" s="11">
        <f>IF(C5="","",IFERROR(INDEX(Catalogo!$C$5:$C$129,MATCH(C5,Catalogo!$A$5:$A$129,0)),"Código no existe"))</f>
        <v/>
      </c>
      <c r="W5" s="11">
        <f>IF(C5="","",IFERROR(INDEX(Catalogo!$G$5:$G$129,MATCH(C5,Catalogo!$A$5:$A$129,0)),""))</f>
        <v/>
      </c>
      <c r="X5" s="12">
        <f>IF(C5="","",IF(ISNUMBER(F5),F5,IF(AND(ISNUMBER(D5),ISNUMBER(E5),E5&gt;0),D5/E5*IF(W5="%",100,1),IF(ISNUMBER(D5),D5,""))))</f>
        <v/>
      </c>
      <c r="Y5" s="11">
        <f>IF(C5="","",IF(A5="","Falta periodo",IF(COUNTIF(Listas!$A$2:$A$134,A5)=0,"Periodo no válido",IF(X5="","Falta valor",IF(I5="","Falta fuente: no se mostrará",IF(AND(J5="",K5=""),"Sin evidencia",IF(N5&lt;&gt;"Validado","Sin validar","OK")))))))</f>
        <v/>
      </c>
    </row>
    <row r="6">
      <c r="A6" s="8" t="inlineStr">
        <is>
          <t>2024</t>
        </is>
      </c>
      <c r="B6" s="8" t="n"/>
      <c r="C6" s="8" t="inlineStr">
        <is>
          <t>ID1</t>
        </is>
      </c>
      <c r="D6" s="8" t="n">
        <v>75</v>
      </c>
      <c r="E6" s="8" t="n">
        <v>120</v>
      </c>
      <c r="F6" s="8" t="n"/>
      <c r="G6" s="8" t="n"/>
      <c r="H6" s="8" t="n"/>
      <c r="I6" s="8" t="inlineStr">
        <is>
          <t>EJEMPLO Encuesta o registro de la escuela, periodo 2024</t>
        </is>
      </c>
      <c r="J6" s="8" t="inlineStr">
        <is>
          <t>EV41</t>
        </is>
      </c>
      <c r="K6" s="8" t="inlineStr">
        <is>
          <t>EJEMPLO_ID1_2024.pdf</t>
        </is>
      </c>
      <c r="L6" s="8" t="inlineStr">
        <is>
          <t>EJEMPLO Coord. de calidad de Obstetricia</t>
        </is>
      </c>
      <c r="M6" s="9" t="n">
        <v>45673</v>
      </c>
      <c r="N6" s="8" t="inlineStr">
        <is>
          <t>Observado</t>
        </is>
      </c>
      <c r="O6" s="8" t="n"/>
      <c r="P6" s="9" t="n"/>
      <c r="Q6" s="8" t="n">
        <v>1</v>
      </c>
      <c r="R6" s="8" t="n"/>
      <c r="S6" s="8" t="inlineStr">
        <is>
          <t>EJEMPLO</t>
        </is>
      </c>
      <c r="T6" s="8" t="n"/>
      <c r="U6" s="8" t="n"/>
      <c r="V6" s="11">
        <f>IF(C6="","",IFERROR(INDEX(Catalogo!$C$5:$C$129,MATCH(C6,Catalogo!$A$5:$A$129,0)),"Código no existe"))</f>
        <v/>
      </c>
      <c r="W6" s="11">
        <f>IF(C6="","",IFERROR(INDEX(Catalogo!$G$5:$G$129,MATCH(C6,Catalogo!$A$5:$A$129,0)),""))</f>
        <v/>
      </c>
      <c r="X6" s="12">
        <f>IF(C6="","",IF(ISNUMBER(F6),F6,IF(AND(ISNUMBER(D6),ISNUMBER(E6),E6&gt;0),D6/E6*IF(W6="%",100,1),IF(ISNUMBER(D6),D6,""))))</f>
        <v/>
      </c>
      <c r="Y6" s="11">
        <f>IF(C6="","",IF(A6="","Falta periodo",IF(COUNTIF(Listas!$A$2:$A$134,A6)=0,"Periodo no válido",IF(X6="","Falta valor",IF(I6="","Falta fuente: no se mostrará",IF(AND(J6="",K6=""),"Sin evidencia",IF(N6&lt;&gt;"Validado","Sin validar","OK")))))))</f>
        <v/>
      </c>
    </row>
    <row r="7">
      <c r="A7" s="8" t="inlineStr">
        <is>
          <t>2025</t>
        </is>
      </c>
      <c r="B7" s="8" t="n"/>
      <c r="C7" s="8" t="inlineStr">
        <is>
          <t>ID1</t>
        </is>
      </c>
      <c r="D7" s="8" t="n">
        <v>88</v>
      </c>
      <c r="E7" s="8" t="n">
        <v>150</v>
      </c>
      <c r="F7" s="8" t="n"/>
      <c r="G7" s="8" t="n"/>
      <c r="H7" s="8" t="n"/>
      <c r="I7" s="8" t="inlineStr">
        <is>
          <t>EJEMPLO Encuesta o registro de la escuela, periodo 2025</t>
        </is>
      </c>
      <c r="J7" s="8" t="inlineStr">
        <is>
          <t>EV13</t>
        </is>
      </c>
      <c r="K7" s="8" t="inlineStr">
        <is>
          <t>EJEMPLO_ID1_2025.pdf</t>
        </is>
      </c>
      <c r="L7" s="8" t="inlineStr">
        <is>
          <t>EJEMPLO Coord. de calidad de Obstetricia</t>
        </is>
      </c>
      <c r="M7" s="9" t="n">
        <v>46036</v>
      </c>
      <c r="N7" s="8" t="inlineStr">
        <is>
          <t>Validado</t>
        </is>
      </c>
      <c r="O7" s="8" t="inlineStr">
        <is>
          <t>EJEMPLO Dirección de Escuela de Obstetricia</t>
        </is>
      </c>
      <c r="P7" s="9" t="n">
        <v>46044</v>
      </c>
      <c r="Q7" s="8" t="n">
        <v>1</v>
      </c>
      <c r="R7" s="8" t="n"/>
      <c r="S7" s="8" t="inlineStr">
        <is>
          <t>EJEMPLO</t>
        </is>
      </c>
      <c r="T7" s="8" t="n"/>
      <c r="U7" s="8" t="n"/>
      <c r="V7" s="11">
        <f>IF(C7="","",IFERROR(INDEX(Catalogo!$C$5:$C$129,MATCH(C7,Catalogo!$A$5:$A$129,0)),"Código no existe"))</f>
        <v/>
      </c>
      <c r="W7" s="11">
        <f>IF(C7="","",IFERROR(INDEX(Catalogo!$G$5:$G$129,MATCH(C7,Catalogo!$A$5:$A$129,0)),""))</f>
        <v/>
      </c>
      <c r="X7" s="12">
        <f>IF(C7="","",IF(ISNUMBER(F7),F7,IF(AND(ISNUMBER(D7),ISNUMBER(E7),E7&gt;0),D7/E7*IF(W7="%",100,1),IF(ISNUMBER(D7),D7,""))))</f>
        <v/>
      </c>
      <c r="Y7" s="11">
        <f>IF(C7="","",IF(A7="","Falta periodo",IF(COUNTIF(Listas!$A$2:$A$134,A7)=0,"Periodo no válido",IF(X7="","Falta valor",IF(I7="","Falta fuente: no se mostrará",IF(AND(J7="",K7=""),"Sin evidencia",IF(N7&lt;&gt;"Validado","Sin validar","OK")))))))</f>
        <v/>
      </c>
    </row>
    <row r="8">
      <c r="A8" s="8" t="inlineStr">
        <is>
          <t>2023</t>
        </is>
      </c>
      <c r="B8" s="8" t="n"/>
      <c r="C8" s="8" t="inlineStr">
        <is>
          <t>ID2</t>
        </is>
      </c>
      <c r="D8" s="8" t="n">
        <v>205</v>
      </c>
      <c r="E8" s="8" t="n">
        <v>320</v>
      </c>
      <c r="F8" s="8" t="n"/>
      <c r="G8" s="8" t="n"/>
      <c r="H8" s="8" t="n"/>
      <c r="I8" s="8" t="inlineStr">
        <is>
          <t>EJEMPLO Encuesta o registro de la escuela, periodo 2023</t>
        </is>
      </c>
      <c r="J8" s="8" t="inlineStr">
        <is>
          <t>EV38</t>
        </is>
      </c>
      <c r="K8" s="8" t="inlineStr">
        <is>
          <t>EJEMPLO_ID2_2023.pdf</t>
        </is>
      </c>
      <c r="L8" s="8" t="inlineStr">
        <is>
          <t>EJEMPLO Coord. de calidad de Obstetricia</t>
        </is>
      </c>
      <c r="M8" s="9" t="n">
        <v>45318</v>
      </c>
      <c r="N8" s="8" t="inlineStr">
        <is>
          <t>Validado</t>
        </is>
      </c>
      <c r="O8" s="8" t="inlineStr">
        <is>
          <t>EJEMPLO Dirección de Escuela de Obstetricia</t>
        </is>
      </c>
      <c r="P8" s="9" t="n">
        <v>45324</v>
      </c>
      <c r="Q8" s="8" t="n">
        <v>1</v>
      </c>
      <c r="R8" s="8" t="n"/>
      <c r="S8" s="8" t="inlineStr">
        <is>
          <t>EJEMPLO</t>
        </is>
      </c>
      <c r="T8" s="8" t="n"/>
      <c r="U8" s="8" t="n"/>
      <c r="V8" s="11">
        <f>IF(C8="","",IFERROR(INDEX(Catalogo!$C$5:$C$129,MATCH(C8,Catalogo!$A$5:$A$129,0)),"Código no existe"))</f>
        <v/>
      </c>
      <c r="W8" s="11">
        <f>IF(C8="","",IFERROR(INDEX(Catalogo!$G$5:$G$129,MATCH(C8,Catalogo!$A$5:$A$129,0)),""))</f>
        <v/>
      </c>
      <c r="X8" s="12">
        <f>IF(C8="","",IF(ISNUMBER(F8),F8,IF(AND(ISNUMBER(D8),ISNUMBER(E8),E8&gt;0),D8/E8*IF(W8="%",100,1),IF(ISNUMBER(D8),D8,""))))</f>
        <v/>
      </c>
      <c r="Y8" s="11">
        <f>IF(C8="","",IF(A8="","Falta periodo",IF(COUNTIF(Listas!$A$2:$A$134,A8)=0,"Periodo no válido",IF(X8="","Falta valor",IF(I8="","Falta fuente: no se mostrará",IF(AND(J8="",K8=""),"Sin evidencia",IF(N8&lt;&gt;"Validado","Sin validar","OK")))))))</f>
        <v/>
      </c>
    </row>
    <row r="9">
      <c r="A9" s="8" t="inlineStr">
        <is>
          <t>2024</t>
        </is>
      </c>
      <c r="B9" s="8" t="n"/>
      <c r="C9" s="8" t="inlineStr">
        <is>
          <t>ID2</t>
        </is>
      </c>
      <c r="D9" s="8" t="n">
        <v>146</v>
      </c>
      <c r="E9" s="8" t="n">
        <v>210</v>
      </c>
      <c r="F9" s="8" t="n"/>
      <c r="G9" s="8" t="n"/>
      <c r="H9" s="8" t="n"/>
      <c r="I9" s="8" t="inlineStr">
        <is>
          <t>EJEMPLO Encuesta o registro de la escuela, periodo 2024</t>
        </is>
      </c>
      <c r="J9" s="8" t="inlineStr">
        <is>
          <t>EV41</t>
        </is>
      </c>
      <c r="K9" s="8" t="inlineStr">
        <is>
          <t>EJEMPLO_ID2_2024.pdf</t>
        </is>
      </c>
      <c r="L9" s="8" t="inlineStr">
        <is>
          <t>EJEMPLO Coord. de calidad de Obstetricia</t>
        </is>
      </c>
      <c r="M9" s="9" t="n">
        <v>45676</v>
      </c>
      <c r="N9" s="8" t="inlineStr">
        <is>
          <t>Validado</t>
        </is>
      </c>
      <c r="O9" s="8" t="inlineStr">
        <is>
          <t>EJEMPLO Dirección de Escuela de Obstetricia</t>
        </is>
      </c>
      <c r="P9" s="9" t="n">
        <v>45678</v>
      </c>
      <c r="Q9" s="8" t="n">
        <v>1</v>
      </c>
      <c r="R9" s="8" t="n"/>
      <c r="S9" s="8" t="inlineStr">
        <is>
          <t>EJEMPLO</t>
        </is>
      </c>
      <c r="T9" s="8" t="n"/>
      <c r="U9" s="8" t="n"/>
      <c r="V9" s="11">
        <f>IF(C9="","",IFERROR(INDEX(Catalogo!$C$5:$C$129,MATCH(C9,Catalogo!$A$5:$A$129,0)),"Código no existe"))</f>
        <v/>
      </c>
      <c r="W9" s="11">
        <f>IF(C9="","",IFERROR(INDEX(Catalogo!$G$5:$G$129,MATCH(C9,Catalogo!$A$5:$A$129,0)),""))</f>
        <v/>
      </c>
      <c r="X9" s="12">
        <f>IF(C9="","",IF(ISNUMBER(F9),F9,IF(AND(ISNUMBER(D9),ISNUMBER(E9),E9&gt;0),D9/E9*IF(W9="%",100,1),IF(ISNUMBER(D9),D9,""))))</f>
        <v/>
      </c>
      <c r="Y9" s="11">
        <f>IF(C9="","",IF(A9="","Falta periodo",IF(COUNTIF(Listas!$A$2:$A$134,A9)=0,"Periodo no válido",IF(X9="","Falta valor",IF(I9="","Falta fuente: no se mostrará",IF(AND(J9="",K9=""),"Sin evidencia",IF(N9&lt;&gt;"Validado","Sin validar","OK")))))))</f>
        <v/>
      </c>
    </row>
    <row r="10">
      <c r="A10" s="8" t="inlineStr">
        <is>
          <t>2025</t>
        </is>
      </c>
      <c r="B10" s="8" t="n"/>
      <c r="C10" s="8" t="inlineStr">
        <is>
          <t>ID2</t>
        </is>
      </c>
      <c r="D10" s="8" t="n">
        <v>33</v>
      </c>
      <c r="E10" s="8" t="n">
        <v>48</v>
      </c>
      <c r="F10" s="8" t="n"/>
      <c r="G10" s="8" t="n"/>
      <c r="H10" s="8" t="n"/>
      <c r="I10" s="8" t="inlineStr">
        <is>
          <t>EJEMPLO Encuesta o registro de la escuela, periodo 2025</t>
        </is>
      </c>
      <c r="J10" s="8" t="inlineStr">
        <is>
          <t>EV13</t>
        </is>
      </c>
      <c r="K10" s="8" t="inlineStr">
        <is>
          <t>EJEMPLO_ID2_2025.pdf</t>
        </is>
      </c>
      <c r="L10" s="8" t="inlineStr">
        <is>
          <t>EJEMPLO Coord. de calidad de Obstetricia</t>
        </is>
      </c>
      <c r="M10" s="9" t="n">
        <v>46044</v>
      </c>
      <c r="N10" s="8" t="inlineStr">
        <is>
          <t>Validado</t>
        </is>
      </c>
      <c r="O10" s="8" t="inlineStr">
        <is>
          <t>EJEMPLO Dirección de Escuela de Obstetricia</t>
        </is>
      </c>
      <c r="P10" s="9" t="n">
        <v>46045</v>
      </c>
      <c r="Q10" s="8" t="n">
        <v>1</v>
      </c>
      <c r="R10" s="8" t="n"/>
      <c r="S10" s="8" t="inlineStr">
        <is>
          <t>EJEMPLO</t>
        </is>
      </c>
      <c r="T10" s="8" t="n"/>
      <c r="U10" s="8" t="n"/>
      <c r="V10" s="11">
        <f>IF(C10="","",IFERROR(INDEX(Catalogo!$C$5:$C$129,MATCH(C10,Catalogo!$A$5:$A$129,0)),"Código no existe"))</f>
        <v/>
      </c>
      <c r="W10" s="11">
        <f>IF(C10="","",IFERROR(INDEX(Catalogo!$G$5:$G$129,MATCH(C10,Catalogo!$A$5:$A$129,0)),""))</f>
        <v/>
      </c>
      <c r="X10" s="12">
        <f>IF(C10="","",IF(ISNUMBER(F10),F10,IF(AND(ISNUMBER(D10),ISNUMBER(E10),E10&gt;0),D10/E10*IF(W10="%",100,1),IF(ISNUMBER(D10),D10,""))))</f>
        <v/>
      </c>
      <c r="Y10" s="11">
        <f>IF(C10="","",IF(A10="","Falta periodo",IF(COUNTIF(Listas!$A$2:$A$134,A10)=0,"Periodo no válido",IF(X10="","Falta valor",IF(I10="","Falta fuente: no se mostrará",IF(AND(J10="",K10=""),"Sin evidencia",IF(N10&lt;&gt;"Validado","Sin validar","OK")))))))</f>
        <v/>
      </c>
    </row>
    <row r="11">
      <c r="A11" s="8" t="inlineStr">
        <is>
          <t>2023</t>
        </is>
      </c>
      <c r="B11" s="8" t="n"/>
      <c r="C11" s="8" t="inlineStr">
        <is>
          <t>ID3</t>
        </is>
      </c>
      <c r="D11" s="8" t="n">
        <v>42</v>
      </c>
      <c r="E11" s="8" t="n">
        <v>85</v>
      </c>
      <c r="F11" s="8" t="n"/>
      <c r="G11" s="8" t="n"/>
      <c r="H11" s="8" t="n"/>
      <c r="I11" s="8" t="inlineStr">
        <is>
          <t>EJEMPLO Encuesta o registro de la escuela, periodo 2023</t>
        </is>
      </c>
      <c r="J11" s="8" t="inlineStr">
        <is>
          <t>EV21</t>
        </is>
      </c>
      <c r="K11" s="8" t="inlineStr">
        <is>
          <t>EJEMPLO_ID3_2023.pdf</t>
        </is>
      </c>
      <c r="L11" s="8" t="inlineStr">
        <is>
          <t>EJEMPLO Coord. de calidad de Obstetricia</t>
        </is>
      </c>
      <c r="M11" s="9" t="n">
        <v>45314</v>
      </c>
      <c r="N11" s="8" t="inlineStr">
        <is>
          <t>Validado</t>
        </is>
      </c>
      <c r="O11" s="8" t="inlineStr">
        <is>
          <t>EJEMPLO Dirección de Escuela de Obstetricia</t>
        </is>
      </c>
      <c r="P11" s="9" t="n">
        <v>45319</v>
      </c>
      <c r="Q11" s="8" t="n">
        <v>1</v>
      </c>
      <c r="R11" s="8" t="n"/>
      <c r="S11" s="8" t="inlineStr">
        <is>
          <t>EJEMPLO</t>
        </is>
      </c>
      <c r="T11" s="8" t="n"/>
      <c r="U11" s="8" t="n"/>
      <c r="V11" s="11">
        <f>IF(C11="","",IFERROR(INDEX(Catalogo!$C$5:$C$129,MATCH(C11,Catalogo!$A$5:$A$129,0)),"Código no existe"))</f>
        <v/>
      </c>
      <c r="W11" s="11">
        <f>IF(C11="","",IFERROR(INDEX(Catalogo!$G$5:$G$129,MATCH(C11,Catalogo!$A$5:$A$129,0)),""))</f>
        <v/>
      </c>
      <c r="X11" s="12">
        <f>IF(C11="","",IF(ISNUMBER(F11),F11,IF(AND(ISNUMBER(D11),ISNUMBER(E11),E11&gt;0),D11/E11*IF(W11="%",100,1),IF(ISNUMBER(D11),D11,""))))</f>
        <v/>
      </c>
      <c r="Y11" s="11">
        <f>IF(C11="","",IF(A11="","Falta periodo",IF(COUNTIF(Listas!$A$2:$A$134,A11)=0,"Periodo no válido",IF(X11="","Falta valor",IF(I11="","Falta fuente: no se mostrará",IF(AND(J11="",K11=""),"Sin evidencia",IF(N11&lt;&gt;"Validado","Sin validar","OK")))))))</f>
        <v/>
      </c>
    </row>
    <row r="12">
      <c r="A12" s="8" t="inlineStr">
        <is>
          <t>2024</t>
        </is>
      </c>
      <c r="B12" s="8" t="n"/>
      <c r="C12" s="8" t="inlineStr">
        <is>
          <t>ID3</t>
        </is>
      </c>
      <c r="D12" s="8" t="n">
        <v>27</v>
      </c>
      <c r="E12" s="8" t="n">
        <v>60</v>
      </c>
      <c r="F12" s="8" t="n"/>
      <c r="G12" s="8" t="n"/>
      <c r="H12" s="8" t="n"/>
      <c r="I12" s="8" t="inlineStr">
        <is>
          <t>EJEMPLO Encuesta o registro de la escuela, periodo 2024</t>
        </is>
      </c>
      <c r="J12" s="8" t="inlineStr">
        <is>
          <t>EV38</t>
        </is>
      </c>
      <c r="K12" s="8" t="inlineStr">
        <is>
          <t>EJEMPLO_ID3_2024.pdf</t>
        </is>
      </c>
      <c r="L12" s="8" t="inlineStr">
        <is>
          <t>EJEMPLO Coord. de calidad de Obstetricia</t>
        </is>
      </c>
      <c r="M12" s="9" t="n">
        <v>45680</v>
      </c>
      <c r="N12" s="8" t="inlineStr">
        <is>
          <t>Validado</t>
        </is>
      </c>
      <c r="O12" s="8" t="inlineStr">
        <is>
          <t>EJEMPLO Dirección de Escuela de Obstetricia</t>
        </is>
      </c>
      <c r="P12" s="9" t="n">
        <v>45683</v>
      </c>
      <c r="Q12" s="8" t="n">
        <v>1</v>
      </c>
      <c r="R12" s="8" t="n"/>
      <c r="S12" s="8" t="inlineStr">
        <is>
          <t>EJEMPLO</t>
        </is>
      </c>
      <c r="T12" s="8" t="n"/>
      <c r="U12" s="8" t="n"/>
      <c r="V12" s="11">
        <f>IF(C12="","",IFERROR(INDEX(Catalogo!$C$5:$C$129,MATCH(C12,Catalogo!$A$5:$A$129,0)),"Código no existe"))</f>
        <v/>
      </c>
      <c r="W12" s="11">
        <f>IF(C12="","",IFERROR(INDEX(Catalogo!$G$5:$G$129,MATCH(C12,Catalogo!$A$5:$A$129,0)),""))</f>
        <v/>
      </c>
      <c r="X12" s="12">
        <f>IF(C12="","",IF(ISNUMBER(F12),F12,IF(AND(ISNUMBER(D12),ISNUMBER(E12),E12&gt;0),D12/E12*IF(W12="%",100,1),IF(ISNUMBER(D12),D12,""))))</f>
        <v/>
      </c>
      <c r="Y12" s="11">
        <f>IF(C12="","",IF(A12="","Falta periodo",IF(COUNTIF(Listas!$A$2:$A$134,A12)=0,"Periodo no válido",IF(X12="","Falta valor",IF(I12="","Falta fuente: no se mostrará",IF(AND(J12="",K12=""),"Sin evidencia",IF(N12&lt;&gt;"Validado","Sin validar","OK")))))))</f>
        <v/>
      </c>
    </row>
    <row r="13">
      <c r="A13" s="8" t="inlineStr">
        <is>
          <t>2025</t>
        </is>
      </c>
      <c r="B13" s="8" t="n"/>
      <c r="C13" s="8" t="inlineStr">
        <is>
          <t>ID3</t>
        </is>
      </c>
      <c r="D13" s="8" t="n">
        <v>70</v>
      </c>
      <c r="E13" s="8" t="n">
        <v>150</v>
      </c>
      <c r="F13" s="8" t="n"/>
      <c r="G13" s="8" t="n"/>
      <c r="H13" s="8" t="n"/>
      <c r="I13" s="8" t="inlineStr">
        <is>
          <t>EJEMPLO Encuesta o registro de la escuela, periodo 2025</t>
        </is>
      </c>
      <c r="J13" s="8" t="inlineStr">
        <is>
          <t>EV41</t>
        </is>
      </c>
      <c r="K13" s="8" t="inlineStr">
        <is>
          <t>EJEMPLO_ID3_2025.pdf</t>
        </is>
      </c>
      <c r="L13" s="8" t="inlineStr">
        <is>
          <t>EJEMPLO Coord. de calidad de Obstetricia</t>
        </is>
      </c>
      <c r="M13" s="9" t="n">
        <v>46032</v>
      </c>
      <c r="N13" s="8" t="inlineStr">
        <is>
          <t>Validado</t>
        </is>
      </c>
      <c r="O13" s="8" t="inlineStr">
        <is>
          <t>EJEMPLO Dirección de Escuela de Obstetricia</t>
        </is>
      </c>
      <c r="P13" s="9" t="n">
        <v>46036</v>
      </c>
      <c r="Q13" s="8" t="n">
        <v>1</v>
      </c>
      <c r="R13" s="8" t="n"/>
      <c r="S13" s="8" t="inlineStr">
        <is>
          <t>EJEMPLO</t>
        </is>
      </c>
      <c r="T13" s="8" t="n"/>
      <c r="U13" s="8" t="n"/>
      <c r="V13" s="11">
        <f>IF(C13="","",IFERROR(INDEX(Catalogo!$C$5:$C$129,MATCH(C13,Catalogo!$A$5:$A$129,0)),"Código no existe"))</f>
        <v/>
      </c>
      <c r="W13" s="11">
        <f>IF(C13="","",IFERROR(INDEX(Catalogo!$G$5:$G$129,MATCH(C13,Catalogo!$A$5:$A$129,0)),""))</f>
        <v/>
      </c>
      <c r="X13" s="12">
        <f>IF(C13="","",IF(ISNUMBER(F13),F13,IF(AND(ISNUMBER(D13),ISNUMBER(E13),E13&gt;0),D13/E13*IF(W13="%",100,1),IF(ISNUMBER(D13),D13,""))))</f>
        <v/>
      </c>
      <c r="Y13" s="11">
        <f>IF(C13="","",IF(A13="","Falta periodo",IF(COUNTIF(Listas!$A$2:$A$134,A13)=0,"Periodo no válido",IF(X13="","Falta valor",IF(I13="","Falta fuente: no se mostrará",IF(AND(J13="",K13=""),"Sin evidencia",IF(N13&lt;&gt;"Validado","Sin validar","OK")))))))</f>
        <v/>
      </c>
    </row>
    <row r="14">
      <c r="A14" s="8" t="inlineStr">
        <is>
          <t>2023</t>
        </is>
      </c>
      <c r="B14" s="8" t="n"/>
      <c r="C14" s="8" t="inlineStr">
        <is>
          <t>ID4</t>
        </is>
      </c>
      <c r="D14" s="8" t="n">
        <v>154</v>
      </c>
      <c r="E14" s="8" t="n">
        <v>320</v>
      </c>
      <c r="F14" s="8" t="n"/>
      <c r="G14" s="8" t="n"/>
      <c r="H14" s="8" t="n"/>
      <c r="I14" s="8" t="inlineStr">
        <is>
          <t>EJEMPLO Encuesta o registro de la escuela, periodo 2023</t>
        </is>
      </c>
      <c r="J14" s="8" t="n"/>
      <c r="K14" s="8" t="n"/>
      <c r="L14" s="8" t="inlineStr">
        <is>
          <t>EJEMPLO Coord. de calidad de Obstetricia</t>
        </is>
      </c>
      <c r="M14" s="9" t="n">
        <v>45315</v>
      </c>
      <c r="N14" s="8" t="inlineStr">
        <is>
          <t>Observado</t>
        </is>
      </c>
      <c r="O14" s="8" t="n"/>
      <c r="P14" s="9" t="n"/>
      <c r="Q14" s="8" t="n">
        <v>1</v>
      </c>
      <c r="R14" s="8" t="n"/>
      <c r="S14" s="8" t="inlineStr">
        <is>
          <t>EJEMPLO</t>
        </is>
      </c>
      <c r="T14" s="8" t="n"/>
      <c r="U14" s="8" t="n"/>
      <c r="V14" s="11">
        <f>IF(C14="","",IFERROR(INDEX(Catalogo!$C$5:$C$129,MATCH(C14,Catalogo!$A$5:$A$129,0)),"Código no existe"))</f>
        <v/>
      </c>
      <c r="W14" s="11">
        <f>IF(C14="","",IFERROR(INDEX(Catalogo!$G$5:$G$129,MATCH(C14,Catalogo!$A$5:$A$129,0)),""))</f>
        <v/>
      </c>
      <c r="X14" s="12">
        <f>IF(C14="","",IF(ISNUMBER(F14),F14,IF(AND(ISNUMBER(D14),ISNUMBER(E14),E14&gt;0),D14/E14*IF(W14="%",100,1),IF(ISNUMBER(D14),D14,""))))</f>
        <v/>
      </c>
      <c r="Y14" s="11">
        <f>IF(C14="","",IF(A14="","Falta periodo",IF(COUNTIF(Listas!$A$2:$A$134,A14)=0,"Periodo no válido",IF(X14="","Falta valor",IF(I14="","Falta fuente: no se mostrará",IF(AND(J14="",K14=""),"Sin evidencia",IF(N14&lt;&gt;"Validado","Sin validar","OK")))))))</f>
        <v/>
      </c>
    </row>
    <row r="15">
      <c r="A15" s="8" t="inlineStr">
        <is>
          <t>2024</t>
        </is>
      </c>
      <c r="B15" s="8" t="n"/>
      <c r="C15" s="8" t="inlineStr">
        <is>
          <t>ID4</t>
        </is>
      </c>
      <c r="D15" s="8" t="n">
        <v>111</v>
      </c>
      <c r="E15" s="8" t="n">
        <v>210</v>
      </c>
      <c r="F15" s="8" t="n"/>
      <c r="G15" s="8" t="n"/>
      <c r="H15" s="8" t="n"/>
      <c r="I15" s="8" t="inlineStr">
        <is>
          <t>EJEMPLO Encuesta o registro de la escuela, periodo 2024</t>
        </is>
      </c>
      <c r="J15" s="8" t="inlineStr">
        <is>
          <t>EV41</t>
        </is>
      </c>
      <c r="K15" s="8" t="inlineStr">
        <is>
          <t>EJEMPLO_ID4_2024.pdf</t>
        </is>
      </c>
      <c r="L15" s="8" t="inlineStr">
        <is>
          <t>EJEMPLO Coord. de calidad de Obstetricia</t>
        </is>
      </c>
      <c r="M15" s="9" t="n">
        <v>45663</v>
      </c>
      <c r="N15" s="8" t="inlineStr">
        <is>
          <t>Borrador</t>
        </is>
      </c>
      <c r="O15" s="8" t="n"/>
      <c r="P15" s="9" t="n"/>
      <c r="Q15" s="8" t="n">
        <v>1</v>
      </c>
      <c r="R15" s="8" t="n"/>
      <c r="S15" s="8" t="inlineStr">
        <is>
          <t>EJEMPLO</t>
        </is>
      </c>
      <c r="T15" s="8" t="n"/>
      <c r="U15" s="8" t="n"/>
      <c r="V15" s="11">
        <f>IF(C15="","",IFERROR(INDEX(Catalogo!$C$5:$C$129,MATCH(C15,Catalogo!$A$5:$A$129,0)),"Código no existe"))</f>
        <v/>
      </c>
      <c r="W15" s="11">
        <f>IF(C15="","",IFERROR(INDEX(Catalogo!$G$5:$G$129,MATCH(C15,Catalogo!$A$5:$A$129,0)),""))</f>
        <v/>
      </c>
      <c r="X15" s="12">
        <f>IF(C15="","",IF(ISNUMBER(F15),F15,IF(AND(ISNUMBER(D15),ISNUMBER(E15),E15&gt;0),D15/E15*IF(W15="%",100,1),IF(ISNUMBER(D15),D15,""))))</f>
        <v/>
      </c>
      <c r="Y15" s="11">
        <f>IF(C15="","",IF(A15="","Falta periodo",IF(COUNTIF(Listas!$A$2:$A$134,A15)=0,"Periodo no válido",IF(X15="","Falta valor",IF(I15="","Falta fuente: no se mostrará",IF(AND(J15="",K15=""),"Sin evidencia",IF(N15&lt;&gt;"Validado","Sin validar","OK")))))))</f>
        <v/>
      </c>
    </row>
    <row r="16">
      <c r="A16" s="8" t="inlineStr">
        <is>
          <t>2025</t>
        </is>
      </c>
      <c r="B16" s="8" t="n"/>
      <c r="C16" s="8" t="inlineStr">
        <is>
          <t>ID4</t>
        </is>
      </c>
      <c r="D16" s="8" t="n">
        <v>32</v>
      </c>
      <c r="E16" s="8" t="n">
        <v>60</v>
      </c>
      <c r="F16" s="8" t="n"/>
      <c r="G16" s="8" t="n"/>
      <c r="H16" s="8" t="n"/>
      <c r="I16" s="8" t="inlineStr">
        <is>
          <t>EJEMPLO Encuesta o registro de la escuela, periodo 2025</t>
        </is>
      </c>
      <c r="J16" s="8" t="inlineStr">
        <is>
          <t>EV21</t>
        </is>
      </c>
      <c r="K16" s="8" t="inlineStr">
        <is>
          <t>EJEMPLO_ID4_2025.pdf</t>
        </is>
      </c>
      <c r="L16" s="8" t="inlineStr">
        <is>
          <t>EJEMPLO Coord. de calidad de Obstetricia</t>
        </is>
      </c>
      <c r="M16" s="9" t="n">
        <v>46050</v>
      </c>
      <c r="N16" s="8" t="inlineStr">
        <is>
          <t>Validado</t>
        </is>
      </c>
      <c r="O16" s="8" t="inlineStr">
        <is>
          <t>EJEMPLO Dirección de Escuela de Obstetricia</t>
        </is>
      </c>
      <c r="P16" s="9" t="n">
        <v>46058</v>
      </c>
      <c r="Q16" s="8" t="n">
        <v>1</v>
      </c>
      <c r="R16" s="8" t="n"/>
      <c r="S16" s="8" t="inlineStr">
        <is>
          <t>EJEMPLO</t>
        </is>
      </c>
      <c r="T16" s="8" t="n"/>
      <c r="U16" s="8" t="n"/>
      <c r="V16" s="11">
        <f>IF(C16="","",IFERROR(INDEX(Catalogo!$C$5:$C$129,MATCH(C16,Catalogo!$A$5:$A$129,0)),"Código no existe"))</f>
        <v/>
      </c>
      <c r="W16" s="11">
        <f>IF(C16="","",IFERROR(INDEX(Catalogo!$G$5:$G$129,MATCH(C16,Catalogo!$A$5:$A$129,0)),""))</f>
        <v/>
      </c>
      <c r="X16" s="12">
        <f>IF(C16="","",IF(ISNUMBER(F16),F16,IF(AND(ISNUMBER(D16),ISNUMBER(E16),E16&gt;0),D16/E16*IF(W16="%",100,1),IF(ISNUMBER(D16),D16,""))))</f>
        <v/>
      </c>
      <c r="Y16" s="11">
        <f>IF(C16="","",IF(A16="","Falta periodo",IF(COUNTIF(Listas!$A$2:$A$134,A16)=0,"Periodo no válido",IF(X16="","Falta valor",IF(I16="","Falta fuente: no se mostrará",IF(AND(J16="",K16=""),"Sin evidencia",IF(N16&lt;&gt;"Validado","Sin validar","OK")))))))</f>
        <v/>
      </c>
    </row>
    <row r="17">
      <c r="A17" s="8" t="inlineStr">
        <is>
          <t>2024-S2</t>
        </is>
      </c>
      <c r="B17" s="8" t="n"/>
      <c r="C17" s="8" t="inlineStr">
        <is>
          <t>ID5</t>
        </is>
      </c>
      <c r="D17" s="8" t="n">
        <v>224</v>
      </c>
      <c r="E17" s="8" t="n">
        <v>320</v>
      </c>
      <c r="F17" s="8" t="n"/>
      <c r="G17" s="8" t="n"/>
      <c r="H17" s="8" t="n"/>
      <c r="I17" s="8" t="inlineStr">
        <is>
          <t>EJEMPLO Encuesta o registro de la escuela, periodo 2024-S2</t>
        </is>
      </c>
      <c r="J17" s="8" t="inlineStr">
        <is>
          <t>EV38</t>
        </is>
      </c>
      <c r="K17" s="8" t="inlineStr">
        <is>
          <t>EJEMPLO_ID5_2024-S2.pdf</t>
        </is>
      </c>
      <c r="L17" s="8" t="inlineStr">
        <is>
          <t>EJEMPLO Coord. de calidad de Obstetricia</t>
        </is>
      </c>
      <c r="M17" s="9" t="n">
        <v>45674</v>
      </c>
      <c r="N17" s="8" t="inlineStr">
        <is>
          <t>Validado</t>
        </is>
      </c>
      <c r="O17" s="8" t="inlineStr">
        <is>
          <t>EJEMPLO Dirección de Escuela de Obstetricia</t>
        </is>
      </c>
      <c r="P17" s="9" t="n">
        <v>45677</v>
      </c>
      <c r="Q17" s="8" t="n">
        <v>1</v>
      </c>
      <c r="R17" s="8" t="n"/>
      <c r="S17" s="8" t="inlineStr">
        <is>
          <t>EJEMPLO</t>
        </is>
      </c>
      <c r="T17" s="8" t="n"/>
      <c r="U17" s="8" t="n"/>
      <c r="V17" s="11">
        <f>IF(C17="","",IFERROR(INDEX(Catalogo!$C$5:$C$129,MATCH(C17,Catalogo!$A$5:$A$129,0)),"Código no existe"))</f>
        <v/>
      </c>
      <c r="W17" s="11">
        <f>IF(C17="","",IFERROR(INDEX(Catalogo!$G$5:$G$129,MATCH(C17,Catalogo!$A$5:$A$129,0)),""))</f>
        <v/>
      </c>
      <c r="X17" s="12">
        <f>IF(C17="","",IF(ISNUMBER(F17),F17,IF(AND(ISNUMBER(D17),ISNUMBER(E17),E17&gt;0),D17/E17*IF(W17="%",100,1),IF(ISNUMBER(D17),D17,""))))</f>
        <v/>
      </c>
      <c r="Y17" s="11">
        <f>IF(C17="","",IF(A17="","Falta periodo",IF(COUNTIF(Listas!$A$2:$A$134,A17)=0,"Periodo no válido",IF(X17="","Falta valor",IF(I17="","Falta fuente: no se mostrará",IF(AND(J17="",K17=""),"Sin evidencia",IF(N17&lt;&gt;"Validado","Sin validar","OK")))))))</f>
        <v/>
      </c>
    </row>
    <row r="18">
      <c r="A18" s="8" t="inlineStr">
        <is>
          <t>2025-S1</t>
        </is>
      </c>
      <c r="B18" s="8" t="n"/>
      <c r="C18" s="8" t="inlineStr">
        <is>
          <t>ID5</t>
        </is>
      </c>
      <c r="D18" s="8" t="n">
        <v>88</v>
      </c>
      <c r="E18" s="8" t="n">
        <v>120</v>
      </c>
      <c r="F18" s="8" t="n"/>
      <c r="G18" s="8" t="n"/>
      <c r="H18" s="8" t="n"/>
      <c r="I18" s="8" t="inlineStr">
        <is>
          <t>EJEMPLO Encuesta o registro de la escuela, periodo 2025-S1</t>
        </is>
      </c>
      <c r="J18" s="8" t="inlineStr">
        <is>
          <t>EV38</t>
        </is>
      </c>
      <c r="K18" s="8" t="inlineStr">
        <is>
          <t>EJEMPLO_ID5_2025-S1.pdf</t>
        </is>
      </c>
      <c r="L18" s="8" t="inlineStr">
        <is>
          <t>EJEMPLO Coord. de calidad de Obstetricia</t>
        </is>
      </c>
      <c r="M18" s="9" t="n">
        <v>45850</v>
      </c>
      <c r="N18" s="8" t="inlineStr">
        <is>
          <t>Validado</t>
        </is>
      </c>
      <c r="O18" s="8" t="inlineStr">
        <is>
          <t>EJEMPLO Dirección de Escuela de Obstetricia</t>
        </is>
      </c>
      <c r="P18" s="9" t="n">
        <v>45854</v>
      </c>
      <c r="Q18" s="8" t="n">
        <v>1</v>
      </c>
      <c r="R18" s="8" t="n"/>
      <c r="S18" s="8" t="inlineStr">
        <is>
          <t>EJEMPLO</t>
        </is>
      </c>
      <c r="T18" s="8" t="n"/>
      <c r="U18" s="8" t="n"/>
      <c r="V18" s="11">
        <f>IF(C18="","",IFERROR(INDEX(Catalogo!$C$5:$C$129,MATCH(C18,Catalogo!$A$5:$A$129,0)),"Código no existe"))</f>
        <v/>
      </c>
      <c r="W18" s="11">
        <f>IF(C18="","",IFERROR(INDEX(Catalogo!$G$5:$G$129,MATCH(C18,Catalogo!$A$5:$A$129,0)),""))</f>
        <v/>
      </c>
      <c r="X18" s="12">
        <f>IF(C18="","",IF(ISNUMBER(F18),F18,IF(AND(ISNUMBER(D18),ISNUMBER(E18),E18&gt;0),D18/E18*IF(W18="%",100,1),IF(ISNUMBER(D18),D18,""))))</f>
        <v/>
      </c>
      <c r="Y18" s="11">
        <f>IF(C18="","",IF(A18="","Falta periodo",IF(COUNTIF(Listas!$A$2:$A$134,A18)=0,"Periodo no válido",IF(X18="","Falta valor",IF(I18="","Falta fuente: no se mostrará",IF(AND(J18="",K18=""),"Sin evidencia",IF(N18&lt;&gt;"Validado","Sin validar","OK")))))))</f>
        <v/>
      </c>
    </row>
    <row r="19">
      <c r="A19" s="8" t="inlineStr">
        <is>
          <t>2025-S2</t>
        </is>
      </c>
      <c r="B19" s="8" t="n"/>
      <c r="C19" s="8" t="inlineStr">
        <is>
          <t>ID5</t>
        </is>
      </c>
      <c r="D19" s="8" t="n">
        <v>107</v>
      </c>
      <c r="E19" s="8" t="n">
        <v>150</v>
      </c>
      <c r="F19" s="8" t="n"/>
      <c r="G19" s="8" t="n"/>
      <c r="H19" s="8" t="n"/>
      <c r="I19" s="8" t="inlineStr">
        <is>
          <t>EJEMPLO Encuesta o registro de la escuela, periodo 2025-S2</t>
        </is>
      </c>
      <c r="J19" s="8" t="inlineStr">
        <is>
          <t>EV21</t>
        </is>
      </c>
      <c r="K19" s="8" t="inlineStr">
        <is>
          <t>EJEMPLO_ID5_2025-S2.pdf</t>
        </is>
      </c>
      <c r="L19" s="8" t="inlineStr">
        <is>
          <t>EJEMPLO Coord. de calidad de Obstetricia</t>
        </is>
      </c>
      <c r="M19" s="9" t="n">
        <v>46034</v>
      </c>
      <c r="N19" s="8" t="inlineStr">
        <is>
          <t>Borrador</t>
        </is>
      </c>
      <c r="O19" s="8" t="n"/>
      <c r="P19" s="9" t="n"/>
      <c r="Q19" s="8" t="n">
        <v>1</v>
      </c>
      <c r="R19" s="8" t="n"/>
      <c r="S19" s="8" t="inlineStr">
        <is>
          <t>EJEMPLO</t>
        </is>
      </c>
      <c r="T19" s="8" t="n"/>
      <c r="U19" s="8" t="n"/>
      <c r="V19" s="11">
        <f>IF(C19="","",IFERROR(INDEX(Catalogo!$C$5:$C$129,MATCH(C19,Catalogo!$A$5:$A$129,0)),"Código no existe"))</f>
        <v/>
      </c>
      <c r="W19" s="11">
        <f>IF(C19="","",IFERROR(INDEX(Catalogo!$G$5:$G$129,MATCH(C19,Catalogo!$A$5:$A$129,0)),""))</f>
        <v/>
      </c>
      <c r="X19" s="12">
        <f>IF(C19="","",IF(ISNUMBER(F19),F19,IF(AND(ISNUMBER(D19),ISNUMBER(E19),E19&gt;0),D19/E19*IF(W19="%",100,1),IF(ISNUMBER(D19),D19,""))))</f>
        <v/>
      </c>
      <c r="Y19" s="11">
        <f>IF(C19="","",IF(A19="","Falta periodo",IF(COUNTIF(Listas!$A$2:$A$134,A19)=0,"Periodo no válido",IF(X19="","Falta valor",IF(I19="","Falta fuente: no se mostrará",IF(AND(J19="",K19=""),"Sin evidencia",IF(N19&lt;&gt;"Validado","Sin validar","OK")))))))</f>
        <v/>
      </c>
    </row>
    <row r="20">
      <c r="A20" s="8" t="inlineStr">
        <is>
          <t>2023</t>
        </is>
      </c>
      <c r="B20" s="8" t="n"/>
      <c r="C20" s="8" t="inlineStr">
        <is>
          <t>ID6</t>
        </is>
      </c>
      <c r="D20" s="8" t="n">
        <v>3</v>
      </c>
      <c r="E20" s="8" t="n">
        <v>320</v>
      </c>
      <c r="F20" s="8" t="n"/>
      <c r="G20" s="8" t="n"/>
      <c r="H20" s="8" t="n"/>
      <c r="I20" s="8" t="inlineStr">
        <is>
          <t>EJEMPLO Encuesta o registro de la escuela, periodo 2023</t>
        </is>
      </c>
      <c r="J20" s="8" t="inlineStr">
        <is>
          <t>EV44</t>
        </is>
      </c>
      <c r="K20" s="8" t="inlineStr">
        <is>
          <t>EJEMPLO_ID6_2023.pdf</t>
        </is>
      </c>
      <c r="L20" s="8" t="inlineStr">
        <is>
          <t>EJEMPLO Coord. de calidad de Obstetricia</t>
        </is>
      </c>
      <c r="M20" s="9" t="n">
        <v>45298</v>
      </c>
      <c r="N20" s="8" t="inlineStr">
        <is>
          <t>Validado</t>
        </is>
      </c>
      <c r="O20" s="8" t="inlineStr">
        <is>
          <t>EJEMPLO Dirección de Escuela de Obstetricia</t>
        </is>
      </c>
      <c r="P20" s="9" t="n">
        <v>45303</v>
      </c>
      <c r="Q20" s="8" t="n">
        <v>1</v>
      </c>
      <c r="R20" s="8" t="n"/>
      <c r="S20" s="8" t="inlineStr">
        <is>
          <t>EJEMPLO</t>
        </is>
      </c>
      <c r="T20" s="8" t="n"/>
      <c r="U20" s="8" t="n"/>
      <c r="V20" s="11">
        <f>IF(C20="","",IFERROR(INDEX(Catalogo!$C$5:$C$129,MATCH(C20,Catalogo!$A$5:$A$129,0)),"Código no existe"))</f>
        <v/>
      </c>
      <c r="W20" s="11">
        <f>IF(C20="","",IFERROR(INDEX(Catalogo!$G$5:$G$129,MATCH(C20,Catalogo!$A$5:$A$129,0)),""))</f>
        <v/>
      </c>
      <c r="X20" s="12">
        <f>IF(C20="","",IF(ISNUMBER(F20),F20,IF(AND(ISNUMBER(D20),ISNUMBER(E20),E20&gt;0),D20/E20*IF(W20="%",100,1),IF(ISNUMBER(D20),D20,""))))</f>
        <v/>
      </c>
      <c r="Y20" s="11">
        <f>IF(C20="","",IF(A20="","Falta periodo",IF(COUNTIF(Listas!$A$2:$A$134,A20)=0,"Periodo no válido",IF(X20="","Falta valor",IF(I20="","Falta fuente: no se mostrará",IF(AND(J20="",K20=""),"Sin evidencia",IF(N20&lt;&gt;"Validado","Sin validar","OK")))))))</f>
        <v/>
      </c>
    </row>
    <row r="21">
      <c r="A21" s="8" t="inlineStr">
        <is>
          <t>2024</t>
        </is>
      </c>
      <c r="B21" s="8" t="n"/>
      <c r="C21" s="8" t="inlineStr">
        <is>
          <t>ID6</t>
        </is>
      </c>
      <c r="D21" s="8" t="n">
        <v>1</v>
      </c>
      <c r="E21" s="8" t="n">
        <v>60</v>
      </c>
      <c r="F21" s="8" t="n"/>
      <c r="G21" s="8" t="n"/>
      <c r="H21" s="8" t="n"/>
      <c r="I21" s="8" t="inlineStr">
        <is>
          <t>EJEMPLO Encuesta o registro de la escuela, periodo 2024</t>
        </is>
      </c>
      <c r="J21" s="8" t="inlineStr">
        <is>
          <t>EV21</t>
        </is>
      </c>
      <c r="K21" s="8" t="inlineStr">
        <is>
          <t>EJEMPLO_ID6_2024.pdf</t>
        </is>
      </c>
      <c r="L21" s="8" t="inlineStr">
        <is>
          <t>EJEMPLO Coord. de calidad de Obstetricia</t>
        </is>
      </c>
      <c r="M21" s="9" t="n">
        <v>45679</v>
      </c>
      <c r="N21" s="8" t="inlineStr">
        <is>
          <t>Validado</t>
        </is>
      </c>
      <c r="O21" s="8" t="inlineStr">
        <is>
          <t>EJEMPLO Dirección de Escuela de Obstetricia</t>
        </is>
      </c>
      <c r="P21" s="9" t="n">
        <v>45681</v>
      </c>
      <c r="Q21" s="8" t="n">
        <v>1</v>
      </c>
      <c r="R21" s="8" t="n"/>
      <c r="S21" s="8" t="inlineStr">
        <is>
          <t>EJEMPLO</t>
        </is>
      </c>
      <c r="T21" s="8" t="n"/>
      <c r="U21" s="8" t="n"/>
      <c r="V21" s="11">
        <f>IF(C21="","",IFERROR(INDEX(Catalogo!$C$5:$C$129,MATCH(C21,Catalogo!$A$5:$A$129,0)),"Código no existe"))</f>
        <v/>
      </c>
      <c r="W21" s="11">
        <f>IF(C21="","",IFERROR(INDEX(Catalogo!$G$5:$G$129,MATCH(C21,Catalogo!$A$5:$A$129,0)),""))</f>
        <v/>
      </c>
      <c r="X21" s="12">
        <f>IF(C21="","",IF(ISNUMBER(F21),F21,IF(AND(ISNUMBER(D21),ISNUMBER(E21),E21&gt;0),D21/E21*IF(W21="%",100,1),IF(ISNUMBER(D21),D21,""))))</f>
        <v/>
      </c>
      <c r="Y21" s="11">
        <f>IF(C21="","",IF(A21="","Falta periodo",IF(COUNTIF(Listas!$A$2:$A$134,A21)=0,"Periodo no válido",IF(X21="","Falta valor",IF(I21="","Falta fuente: no se mostrará",IF(AND(J21="",K21=""),"Sin evidencia",IF(N21&lt;&gt;"Validado","Sin validar","OK")))))))</f>
        <v/>
      </c>
    </row>
    <row r="22">
      <c r="A22" s="8" t="inlineStr">
        <is>
          <t>2025</t>
        </is>
      </c>
      <c r="B22" s="8" t="n"/>
      <c r="C22" s="8" t="inlineStr">
        <is>
          <t>ID6</t>
        </is>
      </c>
      <c r="D22" s="8" t="n">
        <v>2</v>
      </c>
      <c r="E22" s="8" t="n">
        <v>210</v>
      </c>
      <c r="F22" s="8" t="n"/>
      <c r="G22" s="8" t="n"/>
      <c r="H22" s="8" t="n"/>
      <c r="I22" s="8" t="inlineStr">
        <is>
          <t>EJEMPLO Encuesta o registro de la escuela, periodo 2025</t>
        </is>
      </c>
      <c r="J22" s="8" t="inlineStr">
        <is>
          <t>EV38</t>
        </is>
      </c>
      <c r="K22" s="8" t="inlineStr">
        <is>
          <t>EJEMPLO_ID6_2025.pdf</t>
        </is>
      </c>
      <c r="L22" s="8" t="inlineStr">
        <is>
          <t>EJEMPLO Coord. de calidad de Obstetricia</t>
        </is>
      </c>
      <c r="M22" s="9" t="n">
        <v>46047</v>
      </c>
      <c r="N22" s="8" t="inlineStr">
        <is>
          <t>Validado</t>
        </is>
      </c>
      <c r="O22" s="8" t="inlineStr">
        <is>
          <t>EJEMPLO Dirección de Escuela de Obstetricia</t>
        </is>
      </c>
      <c r="P22" s="9" t="n">
        <v>46048</v>
      </c>
      <c r="Q22" s="8" t="n">
        <v>1</v>
      </c>
      <c r="R22" s="8" t="n"/>
      <c r="S22" s="8" t="inlineStr">
        <is>
          <t>EJEMPLO</t>
        </is>
      </c>
      <c r="T22" s="8" t="n"/>
      <c r="U22" s="8" t="n"/>
      <c r="V22" s="11">
        <f>IF(C22="","",IFERROR(INDEX(Catalogo!$C$5:$C$129,MATCH(C22,Catalogo!$A$5:$A$129,0)),"Código no existe"))</f>
        <v/>
      </c>
      <c r="W22" s="11">
        <f>IF(C22="","",IFERROR(INDEX(Catalogo!$G$5:$G$129,MATCH(C22,Catalogo!$A$5:$A$129,0)),""))</f>
        <v/>
      </c>
      <c r="X22" s="12">
        <f>IF(C22="","",IF(ISNUMBER(F22),F22,IF(AND(ISNUMBER(D22),ISNUMBER(E22),E22&gt;0),D22/E22*IF(W22="%",100,1),IF(ISNUMBER(D22),D22,""))))</f>
        <v/>
      </c>
      <c r="Y22" s="11">
        <f>IF(C22="","",IF(A22="","Falta periodo",IF(COUNTIF(Listas!$A$2:$A$134,A22)=0,"Periodo no válido",IF(X22="","Falta valor",IF(I22="","Falta fuente: no se mostrará",IF(AND(J22="",K22=""),"Sin evidencia",IF(N22&lt;&gt;"Validado","Sin validar","OK")))))))</f>
        <v/>
      </c>
    </row>
    <row r="23">
      <c r="A23" s="8" t="inlineStr">
        <is>
          <t>2023</t>
        </is>
      </c>
      <c r="B23" s="8" t="n"/>
      <c r="C23" s="8" t="inlineStr">
        <is>
          <t>ID7</t>
        </is>
      </c>
      <c r="D23" s="8" t="n">
        <v>96</v>
      </c>
      <c r="E23" s="8" t="n">
        <v>210</v>
      </c>
      <c r="F23" s="8" t="n"/>
      <c r="G23" s="8" t="n"/>
      <c r="H23" s="8" t="n"/>
      <c r="I23" s="8" t="inlineStr">
        <is>
          <t>EJEMPLO Encuesta o registro de la escuela, periodo 2023</t>
        </is>
      </c>
      <c r="J23" s="8" t="inlineStr">
        <is>
          <t>EV38</t>
        </is>
      </c>
      <c r="K23" s="8" t="inlineStr">
        <is>
          <t>EJEMPLO_ID7_2023.pdf</t>
        </is>
      </c>
      <c r="L23" s="8" t="inlineStr">
        <is>
          <t>EJEMPLO Coord. de calidad de Obstetricia</t>
        </is>
      </c>
      <c r="M23" s="9" t="n">
        <v>45308</v>
      </c>
      <c r="N23" s="8" t="inlineStr">
        <is>
          <t>Validado</t>
        </is>
      </c>
      <c r="O23" s="8" t="inlineStr">
        <is>
          <t>EJEMPLO Dirección de Escuela de Obstetricia</t>
        </is>
      </c>
      <c r="P23" s="9" t="n">
        <v>45310</v>
      </c>
      <c r="Q23" s="8" t="n">
        <v>1</v>
      </c>
      <c r="R23" s="8" t="n"/>
      <c r="S23" s="8" t="inlineStr">
        <is>
          <t>EJEMPLO</t>
        </is>
      </c>
      <c r="T23" s="8" t="n"/>
      <c r="U23" s="8" t="n"/>
      <c r="V23" s="11">
        <f>IF(C23="","",IFERROR(INDEX(Catalogo!$C$5:$C$129,MATCH(C23,Catalogo!$A$5:$A$129,0)),"Código no existe"))</f>
        <v/>
      </c>
      <c r="W23" s="11">
        <f>IF(C23="","",IFERROR(INDEX(Catalogo!$G$5:$G$129,MATCH(C23,Catalogo!$A$5:$A$129,0)),""))</f>
        <v/>
      </c>
      <c r="X23" s="12">
        <f>IF(C23="","",IF(ISNUMBER(F23),F23,IF(AND(ISNUMBER(D23),ISNUMBER(E23),E23&gt;0),D23/E23*IF(W23="%",100,1),IF(ISNUMBER(D23),D23,""))))</f>
        <v/>
      </c>
      <c r="Y23" s="11">
        <f>IF(C23="","",IF(A23="","Falta periodo",IF(COUNTIF(Listas!$A$2:$A$134,A23)=0,"Periodo no válido",IF(X23="","Falta valor",IF(I23="","Falta fuente: no se mostrará",IF(AND(J23="",K23=""),"Sin evidencia",IF(N23&lt;&gt;"Validado","Sin validar","OK")))))))</f>
        <v/>
      </c>
    </row>
    <row r="24">
      <c r="A24" s="8" t="inlineStr">
        <is>
          <t>2024</t>
        </is>
      </c>
      <c r="B24" s="8" t="n"/>
      <c r="C24" s="8" t="inlineStr">
        <is>
          <t>ID7</t>
        </is>
      </c>
      <c r="D24" s="8" t="n">
        <v>38</v>
      </c>
      <c r="E24" s="8" t="n">
        <v>85</v>
      </c>
      <c r="F24" s="8" t="n"/>
      <c r="G24" s="8" t="n"/>
      <c r="H24" s="8" t="n"/>
      <c r="I24" s="8" t="inlineStr">
        <is>
          <t>EJEMPLO Encuesta o registro de la escuela, periodo 2024</t>
        </is>
      </c>
      <c r="J24" s="8" t="inlineStr">
        <is>
          <t>EV13</t>
        </is>
      </c>
      <c r="K24" s="8" t="inlineStr">
        <is>
          <t>EJEMPLO_ID7_2024.pdf</t>
        </is>
      </c>
      <c r="L24" s="8" t="inlineStr">
        <is>
          <t>EJEMPLO Coord. de calidad de Obstetricia</t>
        </is>
      </c>
      <c r="M24" s="9" t="n">
        <v>45668</v>
      </c>
      <c r="N24" s="8" t="inlineStr">
        <is>
          <t>Observado</t>
        </is>
      </c>
      <c r="O24" s="8" t="n"/>
      <c r="P24" s="9" t="n"/>
      <c r="Q24" s="8" t="n">
        <v>1</v>
      </c>
      <c r="R24" s="8" t="n"/>
      <c r="S24" s="8" t="inlineStr">
        <is>
          <t>EJEMPLO</t>
        </is>
      </c>
      <c r="T24" s="8" t="n"/>
      <c r="U24" s="8" t="n"/>
      <c r="V24" s="11">
        <f>IF(C24="","",IFERROR(INDEX(Catalogo!$C$5:$C$129,MATCH(C24,Catalogo!$A$5:$A$129,0)),"Código no existe"))</f>
        <v/>
      </c>
      <c r="W24" s="11">
        <f>IF(C24="","",IFERROR(INDEX(Catalogo!$G$5:$G$129,MATCH(C24,Catalogo!$A$5:$A$129,0)),""))</f>
        <v/>
      </c>
      <c r="X24" s="12">
        <f>IF(C24="","",IF(ISNUMBER(F24),F24,IF(AND(ISNUMBER(D24),ISNUMBER(E24),E24&gt;0),D24/E24*IF(W24="%",100,1),IF(ISNUMBER(D24),D24,""))))</f>
        <v/>
      </c>
      <c r="Y24" s="11">
        <f>IF(C24="","",IF(A24="","Falta periodo",IF(COUNTIF(Listas!$A$2:$A$134,A24)=0,"Periodo no válido",IF(X24="","Falta valor",IF(I24="","Falta fuente: no se mostrará",IF(AND(J24="",K24=""),"Sin evidencia",IF(N24&lt;&gt;"Validado","Sin validar","OK")))))))</f>
        <v/>
      </c>
    </row>
    <row r="25">
      <c r="A25" s="8" t="inlineStr">
        <is>
          <t>2025</t>
        </is>
      </c>
      <c r="B25" s="8" t="n"/>
      <c r="C25" s="8" t="inlineStr">
        <is>
          <t>ID7</t>
        </is>
      </c>
      <c r="D25" s="8" t="n">
        <v>94</v>
      </c>
      <c r="E25" s="8" t="n">
        <v>210</v>
      </c>
      <c r="F25" s="8" t="n"/>
      <c r="G25" s="8" t="n"/>
      <c r="H25" s="8" t="n"/>
      <c r="I25" s="8" t="inlineStr">
        <is>
          <t>EJEMPLO Encuesta o registro de la escuela, periodo 2025</t>
        </is>
      </c>
      <c r="J25" s="8" t="inlineStr">
        <is>
          <t>EV30</t>
        </is>
      </c>
      <c r="K25" s="8" t="inlineStr">
        <is>
          <t>EJEMPLO_ID7_2025.pdf</t>
        </is>
      </c>
      <c r="L25" s="8" t="inlineStr">
        <is>
          <t>EJEMPLO Coord. de calidad de Obstetricia</t>
        </is>
      </c>
      <c r="M25" s="9" t="n">
        <v>46036</v>
      </c>
      <c r="N25" s="8" t="inlineStr">
        <is>
          <t>Validado</t>
        </is>
      </c>
      <c r="O25" s="8" t="inlineStr">
        <is>
          <t>EJEMPLO Dirección de Escuela de Obstetricia</t>
        </is>
      </c>
      <c r="P25" s="9" t="n">
        <v>46040</v>
      </c>
      <c r="Q25" s="8" t="n">
        <v>1</v>
      </c>
      <c r="R25" s="8" t="n"/>
      <c r="S25" s="8" t="inlineStr">
        <is>
          <t>EJEMPLO</t>
        </is>
      </c>
      <c r="T25" s="8" t="n"/>
      <c r="U25" s="8" t="n"/>
      <c r="V25" s="11">
        <f>IF(C25="","",IFERROR(INDEX(Catalogo!$C$5:$C$129,MATCH(C25,Catalogo!$A$5:$A$129,0)),"Código no existe"))</f>
        <v/>
      </c>
      <c r="W25" s="11">
        <f>IF(C25="","",IFERROR(INDEX(Catalogo!$G$5:$G$129,MATCH(C25,Catalogo!$A$5:$A$129,0)),""))</f>
        <v/>
      </c>
      <c r="X25" s="12">
        <f>IF(C25="","",IF(ISNUMBER(F25),F25,IF(AND(ISNUMBER(D25),ISNUMBER(E25),E25&gt;0),D25/E25*IF(W25="%",100,1),IF(ISNUMBER(D25),D25,""))))</f>
        <v/>
      </c>
      <c r="Y25" s="11">
        <f>IF(C25="","",IF(A25="","Falta periodo",IF(COUNTIF(Listas!$A$2:$A$134,A25)=0,"Periodo no válido",IF(X25="","Falta valor",IF(I25="","Falta fuente: no se mostrará",IF(AND(J25="",K25=""),"Sin evidencia",IF(N25&lt;&gt;"Validado","Sin validar","OK")))))))</f>
        <v/>
      </c>
    </row>
    <row r="26">
      <c r="A26" s="8" t="inlineStr">
        <is>
          <t>2024-S2</t>
        </is>
      </c>
      <c r="B26" s="8" t="n"/>
      <c r="C26" s="8" t="inlineStr">
        <is>
          <t>ID10</t>
        </is>
      </c>
      <c r="D26" s="8" t="n">
        <v>31</v>
      </c>
      <c r="E26" s="8" t="n">
        <v>48</v>
      </c>
      <c r="F26" s="8" t="n"/>
      <c r="G26" s="8" t="n"/>
      <c r="H26" s="8" t="n"/>
      <c r="I26" s="8" t="inlineStr">
        <is>
          <t>EJEMPLO Encuesta o registro de la escuela, periodo 2024-S2</t>
        </is>
      </c>
      <c r="J26" s="8" t="inlineStr">
        <is>
          <t>EV21</t>
        </is>
      </c>
      <c r="K26" s="8" t="inlineStr">
        <is>
          <t>EJEMPLO_ID10_2024-S2.pdf</t>
        </is>
      </c>
      <c r="L26" s="8" t="inlineStr">
        <is>
          <t>EJEMPLO Coord. de calidad de Obstetricia</t>
        </is>
      </c>
      <c r="M26" s="9" t="n">
        <v>45674</v>
      </c>
      <c r="N26" s="8" t="inlineStr">
        <is>
          <t>Validado</t>
        </is>
      </c>
      <c r="O26" s="8" t="inlineStr">
        <is>
          <t>EJEMPLO Dirección de Escuela de Obstetricia</t>
        </is>
      </c>
      <c r="P26" s="9" t="n">
        <v>45678</v>
      </c>
      <c r="Q26" s="8" t="n">
        <v>1</v>
      </c>
      <c r="R26" s="8" t="n"/>
      <c r="S26" s="8" t="inlineStr">
        <is>
          <t>EJEMPLO</t>
        </is>
      </c>
      <c r="T26" s="8" t="n"/>
      <c r="U26" s="8" t="n"/>
      <c r="V26" s="11">
        <f>IF(C26="","",IFERROR(INDEX(Catalogo!$C$5:$C$129,MATCH(C26,Catalogo!$A$5:$A$129,0)),"Código no existe"))</f>
        <v/>
      </c>
      <c r="W26" s="11">
        <f>IF(C26="","",IFERROR(INDEX(Catalogo!$G$5:$G$129,MATCH(C26,Catalogo!$A$5:$A$129,0)),""))</f>
        <v/>
      </c>
      <c r="X26" s="12">
        <f>IF(C26="","",IF(ISNUMBER(F26),F26,IF(AND(ISNUMBER(D26),ISNUMBER(E26),E26&gt;0),D26/E26*IF(W26="%",100,1),IF(ISNUMBER(D26),D26,""))))</f>
        <v/>
      </c>
      <c r="Y26" s="11">
        <f>IF(C26="","",IF(A26="","Falta periodo",IF(COUNTIF(Listas!$A$2:$A$134,A26)=0,"Periodo no válido",IF(X26="","Falta valor",IF(I26="","Falta fuente: no se mostrará",IF(AND(J26="",K26=""),"Sin evidencia",IF(N26&lt;&gt;"Validado","Sin validar","OK")))))))</f>
        <v/>
      </c>
    </row>
    <row r="27">
      <c r="A27" s="8" t="inlineStr">
        <is>
          <t>2025-S1</t>
        </is>
      </c>
      <c r="B27" s="8" t="n"/>
      <c r="C27" s="8" t="inlineStr">
        <is>
          <t>ID10</t>
        </is>
      </c>
      <c r="D27" s="8" t="n">
        <v>60</v>
      </c>
      <c r="E27" s="8" t="n">
        <v>85</v>
      </c>
      <c r="F27" s="8" t="n"/>
      <c r="G27" s="8" t="n"/>
      <c r="H27" s="8" t="n"/>
      <c r="I27" s="8" t="inlineStr">
        <is>
          <t>EJEMPLO Encuesta o registro de la escuela, periodo 2025-S1</t>
        </is>
      </c>
      <c r="J27" s="8" t="inlineStr">
        <is>
          <t>EV44</t>
        </is>
      </c>
      <c r="K27" s="8" t="inlineStr">
        <is>
          <t>EJEMPLO_ID10_2025-S1.pdf</t>
        </is>
      </c>
      <c r="L27" s="8" t="inlineStr">
        <is>
          <t>EJEMPLO Coord. de calidad de Obstetricia</t>
        </is>
      </c>
      <c r="M27" s="9" t="n">
        <v>45856</v>
      </c>
      <c r="N27" s="8" t="inlineStr">
        <is>
          <t>Validado</t>
        </is>
      </c>
      <c r="O27" s="8" t="inlineStr">
        <is>
          <t>EJEMPLO Dirección de Escuela de Obstetricia</t>
        </is>
      </c>
      <c r="P27" s="9" t="n">
        <v>45861</v>
      </c>
      <c r="Q27" s="8" t="n">
        <v>1</v>
      </c>
      <c r="R27" s="8" t="n"/>
      <c r="S27" s="8" t="inlineStr">
        <is>
          <t>EJEMPLO</t>
        </is>
      </c>
      <c r="T27" s="8" t="n"/>
      <c r="U27" s="8" t="n"/>
      <c r="V27" s="11">
        <f>IF(C27="","",IFERROR(INDEX(Catalogo!$C$5:$C$129,MATCH(C27,Catalogo!$A$5:$A$129,0)),"Código no existe"))</f>
        <v/>
      </c>
      <c r="W27" s="11">
        <f>IF(C27="","",IFERROR(INDEX(Catalogo!$G$5:$G$129,MATCH(C27,Catalogo!$A$5:$A$129,0)),""))</f>
        <v/>
      </c>
      <c r="X27" s="12">
        <f>IF(C27="","",IF(ISNUMBER(F27),F27,IF(AND(ISNUMBER(D27),ISNUMBER(E27),E27&gt;0),D27/E27*IF(W27="%",100,1),IF(ISNUMBER(D27),D27,""))))</f>
        <v/>
      </c>
      <c r="Y27" s="11">
        <f>IF(C27="","",IF(A27="","Falta periodo",IF(COUNTIF(Listas!$A$2:$A$134,A27)=0,"Periodo no válido",IF(X27="","Falta valor",IF(I27="","Falta fuente: no se mostrará",IF(AND(J27="",K27=""),"Sin evidencia",IF(N27&lt;&gt;"Validado","Sin validar","OK")))))))</f>
        <v/>
      </c>
    </row>
    <row r="28">
      <c r="A28" s="8" t="inlineStr">
        <is>
          <t>2025-S2</t>
        </is>
      </c>
      <c r="B28" s="8" t="n"/>
      <c r="C28" s="8" t="inlineStr">
        <is>
          <t>ID10</t>
        </is>
      </c>
      <c r="D28" s="8" t="n">
        <v>32</v>
      </c>
      <c r="E28" s="8" t="n">
        <v>48</v>
      </c>
      <c r="F28" s="8" t="n"/>
      <c r="G28" s="8" t="n"/>
      <c r="H28" s="8" t="n"/>
      <c r="I28" s="8" t="inlineStr">
        <is>
          <t>EJEMPLO Encuesta o registro de la escuela, periodo 2025-S2</t>
        </is>
      </c>
      <c r="J28" s="8" t="n"/>
      <c r="K28" s="8" t="n"/>
      <c r="L28" s="8" t="inlineStr">
        <is>
          <t>EJEMPLO Coord. de calidad de Obstetricia</t>
        </is>
      </c>
      <c r="M28" s="9" t="n">
        <v>46046</v>
      </c>
      <c r="N28" s="8" t="inlineStr">
        <is>
          <t>Validado</t>
        </is>
      </c>
      <c r="O28" s="8" t="inlineStr">
        <is>
          <t>EJEMPLO Dirección de Escuela de Obstetricia</t>
        </is>
      </c>
      <c r="P28" s="9" t="n">
        <v>46047</v>
      </c>
      <c r="Q28" s="8" t="n">
        <v>1</v>
      </c>
      <c r="R28" s="8" t="n"/>
      <c r="S28" s="8" t="inlineStr">
        <is>
          <t>EJEMPLO</t>
        </is>
      </c>
      <c r="T28" s="8" t="n"/>
      <c r="U28" s="8" t="n"/>
      <c r="V28" s="11">
        <f>IF(C28="","",IFERROR(INDEX(Catalogo!$C$5:$C$129,MATCH(C28,Catalogo!$A$5:$A$129,0)),"Código no existe"))</f>
        <v/>
      </c>
      <c r="W28" s="11">
        <f>IF(C28="","",IFERROR(INDEX(Catalogo!$G$5:$G$129,MATCH(C28,Catalogo!$A$5:$A$129,0)),""))</f>
        <v/>
      </c>
      <c r="X28" s="12">
        <f>IF(C28="","",IF(ISNUMBER(F28),F28,IF(AND(ISNUMBER(D28),ISNUMBER(E28),E28&gt;0),D28/E28*IF(W28="%",100,1),IF(ISNUMBER(D28),D28,""))))</f>
        <v/>
      </c>
      <c r="Y28" s="11">
        <f>IF(C28="","",IF(A28="","Falta periodo",IF(COUNTIF(Listas!$A$2:$A$134,A28)=0,"Periodo no válido",IF(X28="","Falta valor",IF(I28="","Falta fuente: no se mostrará",IF(AND(J28="",K28=""),"Sin evidencia",IF(N28&lt;&gt;"Validado","Sin validar","OK")))))))</f>
        <v/>
      </c>
    </row>
    <row r="29">
      <c r="A29" s="8" t="inlineStr">
        <is>
          <t>2026-S1</t>
        </is>
      </c>
      <c r="B29" s="8" t="n"/>
      <c r="C29" s="8" t="inlineStr">
        <is>
          <t>ID10</t>
        </is>
      </c>
      <c r="D29" s="8" t="n">
        <v>211</v>
      </c>
      <c r="E29" s="8" t="n">
        <v>320</v>
      </c>
      <c r="F29" s="8" t="n"/>
      <c r="G29" s="8" t="n"/>
      <c r="H29" s="8" t="n"/>
      <c r="I29" s="8" t="inlineStr">
        <is>
          <t>EJEMPLO Encuesta o registro de la escuela, periodo 2026-S1</t>
        </is>
      </c>
      <c r="J29" s="8" t="inlineStr">
        <is>
          <t>EV43</t>
        </is>
      </c>
      <c r="K29" s="8" t="inlineStr">
        <is>
          <t>EJEMPLO_ID10_2026-S1.pdf</t>
        </is>
      </c>
      <c r="L29" s="8" t="inlineStr">
        <is>
          <t>EJEMPLO Coord. de calidad de Obstetricia</t>
        </is>
      </c>
      <c r="M29" s="9" t="n">
        <v>46223</v>
      </c>
      <c r="N29" s="8" t="inlineStr">
        <is>
          <t>Borrador</t>
        </is>
      </c>
      <c r="O29" s="8" t="n"/>
      <c r="P29" s="9" t="n"/>
      <c r="Q29" s="8" t="n">
        <v>1</v>
      </c>
      <c r="R29" s="8" t="n"/>
      <c r="S29" s="8" t="inlineStr">
        <is>
          <t>EJEMPLO</t>
        </is>
      </c>
      <c r="T29" s="8" t="n"/>
      <c r="U29" s="8" t="n"/>
      <c r="V29" s="11">
        <f>IF(C29="","",IFERROR(INDEX(Catalogo!$C$5:$C$129,MATCH(C29,Catalogo!$A$5:$A$129,0)),"Código no existe"))</f>
        <v/>
      </c>
      <c r="W29" s="11">
        <f>IF(C29="","",IFERROR(INDEX(Catalogo!$G$5:$G$129,MATCH(C29,Catalogo!$A$5:$A$129,0)),""))</f>
        <v/>
      </c>
      <c r="X29" s="12">
        <f>IF(C29="","",IF(ISNUMBER(F29),F29,IF(AND(ISNUMBER(D29),ISNUMBER(E29),E29&gt;0),D29/E29*IF(W29="%",100,1),IF(ISNUMBER(D29),D29,""))))</f>
        <v/>
      </c>
      <c r="Y29" s="11">
        <f>IF(C29="","",IF(A29="","Falta periodo",IF(COUNTIF(Listas!$A$2:$A$134,A29)=0,"Periodo no válido",IF(X29="","Falta valor",IF(I29="","Falta fuente: no se mostrará",IF(AND(J29="",K29=""),"Sin evidencia",IF(N29&lt;&gt;"Validado","Sin validar","OK")))))))</f>
        <v/>
      </c>
    </row>
    <row r="30">
      <c r="A30" s="8" t="inlineStr">
        <is>
          <t>2025-S1</t>
        </is>
      </c>
      <c r="B30" s="8" t="n"/>
      <c r="C30" s="8" t="inlineStr">
        <is>
          <t>ID11</t>
        </is>
      </c>
      <c r="D30" s="8" t="n">
        <v>257</v>
      </c>
      <c r="E30" s="8" t="n">
        <v>320</v>
      </c>
      <c r="F30" s="8" t="n"/>
      <c r="G30" s="8" t="n"/>
      <c r="H30" s="8" t="n"/>
      <c r="I30" s="8" t="inlineStr">
        <is>
          <t>EJEMPLO Encuesta o registro de la escuela, periodo 2025-S1</t>
        </is>
      </c>
      <c r="J30" s="8" t="inlineStr">
        <is>
          <t>EV21</t>
        </is>
      </c>
      <c r="K30" s="8" t="inlineStr">
        <is>
          <t>EJEMPLO_ID11_2025-S1.pdf</t>
        </is>
      </c>
      <c r="L30" s="8" t="inlineStr">
        <is>
          <t>EJEMPLO Coord. de calidad de Obstetricia</t>
        </is>
      </c>
      <c r="M30" s="9" t="n">
        <v>45845</v>
      </c>
      <c r="N30" s="8" t="inlineStr">
        <is>
          <t>Validado</t>
        </is>
      </c>
      <c r="O30" s="8" t="inlineStr">
        <is>
          <t>EJEMPLO Dirección de Escuela de Obstetricia</t>
        </is>
      </c>
      <c r="P30" s="9" t="n">
        <v>45847</v>
      </c>
      <c r="Q30" s="8" t="n">
        <v>1</v>
      </c>
      <c r="R30" s="8" t="n"/>
      <c r="S30" s="8" t="inlineStr">
        <is>
          <t>EJEMPLO</t>
        </is>
      </c>
      <c r="T30" s="8" t="n"/>
      <c r="U30" s="8" t="n"/>
      <c r="V30" s="11">
        <f>IF(C30="","",IFERROR(INDEX(Catalogo!$C$5:$C$129,MATCH(C30,Catalogo!$A$5:$A$129,0)),"Código no existe"))</f>
        <v/>
      </c>
      <c r="W30" s="11">
        <f>IF(C30="","",IFERROR(INDEX(Catalogo!$G$5:$G$129,MATCH(C30,Catalogo!$A$5:$A$129,0)),""))</f>
        <v/>
      </c>
      <c r="X30" s="12">
        <f>IF(C30="","",IF(ISNUMBER(F30),F30,IF(AND(ISNUMBER(D30),ISNUMBER(E30),E30&gt;0),D30/E30*IF(W30="%",100,1),IF(ISNUMBER(D30),D30,""))))</f>
        <v/>
      </c>
      <c r="Y30" s="11">
        <f>IF(C30="","",IF(A30="","Falta periodo",IF(COUNTIF(Listas!$A$2:$A$134,A30)=0,"Periodo no válido",IF(X30="","Falta valor",IF(I30="","Falta fuente: no se mostrará",IF(AND(J30="",K30=""),"Sin evidencia",IF(N30&lt;&gt;"Validado","Sin validar","OK")))))))</f>
        <v/>
      </c>
    </row>
    <row r="31">
      <c r="A31" s="8" t="inlineStr">
        <is>
          <t>2025-S2</t>
        </is>
      </c>
      <c r="B31" s="8" t="n"/>
      <c r="C31" s="8" t="inlineStr">
        <is>
          <t>ID11</t>
        </is>
      </c>
      <c r="D31" s="8" t="n">
        <v>109</v>
      </c>
      <c r="E31" s="8" t="n">
        <v>150</v>
      </c>
      <c r="F31" s="8" t="n"/>
      <c r="G31" s="8" t="n"/>
      <c r="H31" s="8" t="n"/>
      <c r="I31" s="8" t="inlineStr">
        <is>
          <t>EJEMPLO Encuesta o registro de la escuela, periodo 2025-S2</t>
        </is>
      </c>
      <c r="J31" s="8" t="inlineStr">
        <is>
          <t>EV35</t>
        </is>
      </c>
      <c r="K31" s="8" t="inlineStr">
        <is>
          <t>EJEMPLO_ID11_2025-S2.pdf</t>
        </is>
      </c>
      <c r="L31" s="8" t="inlineStr">
        <is>
          <t>EJEMPLO Coord. de calidad de Obstetricia</t>
        </is>
      </c>
      <c r="M31" s="9" t="n">
        <v>46048</v>
      </c>
      <c r="N31" s="8" t="inlineStr">
        <is>
          <t>Observado</t>
        </is>
      </c>
      <c r="O31" s="8" t="n"/>
      <c r="P31" s="9" t="n"/>
      <c r="Q31" s="8" t="n">
        <v>1</v>
      </c>
      <c r="R31" s="8" t="n"/>
      <c r="S31" s="8" t="inlineStr">
        <is>
          <t>EJEMPLO</t>
        </is>
      </c>
      <c r="T31" s="8" t="n"/>
      <c r="U31" s="8" t="n"/>
      <c r="V31" s="11">
        <f>IF(C31="","",IFERROR(INDEX(Catalogo!$C$5:$C$129,MATCH(C31,Catalogo!$A$5:$A$129,0)),"Código no existe"))</f>
        <v/>
      </c>
      <c r="W31" s="11">
        <f>IF(C31="","",IFERROR(INDEX(Catalogo!$G$5:$G$129,MATCH(C31,Catalogo!$A$5:$A$129,0)),""))</f>
        <v/>
      </c>
      <c r="X31" s="12">
        <f>IF(C31="","",IF(ISNUMBER(F31),F31,IF(AND(ISNUMBER(D31),ISNUMBER(E31),E31&gt;0),D31/E31*IF(W31="%",100,1),IF(ISNUMBER(D31),D31,""))))</f>
        <v/>
      </c>
      <c r="Y31" s="11">
        <f>IF(C31="","",IF(A31="","Falta periodo",IF(COUNTIF(Listas!$A$2:$A$134,A31)=0,"Periodo no válido",IF(X31="","Falta valor",IF(I31="","Falta fuente: no se mostrará",IF(AND(J31="",K31=""),"Sin evidencia",IF(N31&lt;&gt;"Validado","Sin validar","OK")))))))</f>
        <v/>
      </c>
    </row>
    <row r="32">
      <c r="A32" s="8" t="inlineStr">
        <is>
          <t>2026-S1</t>
        </is>
      </c>
      <c r="B32" s="8" t="n"/>
      <c r="C32" s="8" t="inlineStr">
        <is>
          <t>ID11</t>
        </is>
      </c>
      <c r="D32" s="8" t="n">
        <v>159</v>
      </c>
      <c r="E32" s="8" t="n">
        <v>210</v>
      </c>
      <c r="F32" s="8" t="n"/>
      <c r="G32" s="8" t="n"/>
      <c r="H32" s="8" t="n"/>
      <c r="I32" s="8" t="inlineStr">
        <is>
          <t>EJEMPLO Encuesta o registro de la escuela, periodo 2026-S1</t>
        </is>
      </c>
      <c r="J32" s="8" t="inlineStr">
        <is>
          <t>EV44</t>
        </is>
      </c>
      <c r="K32" s="8" t="inlineStr">
        <is>
          <t>EJEMPLO_ID11_2026-S1.pdf</t>
        </is>
      </c>
      <c r="L32" s="8" t="inlineStr">
        <is>
          <t>EJEMPLO Coord. de calidad de Obstetricia</t>
        </is>
      </c>
      <c r="M32" s="9" t="n">
        <v>46215</v>
      </c>
      <c r="N32" s="8" t="inlineStr">
        <is>
          <t>Validado</t>
        </is>
      </c>
      <c r="O32" s="8" t="inlineStr">
        <is>
          <t>EJEMPLO Dirección de Escuela de Obstetricia</t>
        </is>
      </c>
      <c r="P32" s="9" t="n">
        <v>46219</v>
      </c>
      <c r="Q32" s="8" t="n">
        <v>1</v>
      </c>
      <c r="R32" s="8" t="n"/>
      <c r="S32" s="8" t="inlineStr">
        <is>
          <t>EJEMPLO</t>
        </is>
      </c>
      <c r="T32" s="8" t="n"/>
      <c r="U32" s="8" t="n"/>
      <c r="V32" s="11">
        <f>IF(C32="","",IFERROR(INDEX(Catalogo!$C$5:$C$129,MATCH(C32,Catalogo!$A$5:$A$129,0)),"Código no existe"))</f>
        <v/>
      </c>
      <c r="W32" s="11">
        <f>IF(C32="","",IFERROR(INDEX(Catalogo!$G$5:$G$129,MATCH(C32,Catalogo!$A$5:$A$129,0)),""))</f>
        <v/>
      </c>
      <c r="X32" s="12">
        <f>IF(C32="","",IF(ISNUMBER(F32),F32,IF(AND(ISNUMBER(D32),ISNUMBER(E32),E32&gt;0),D32/E32*IF(W32="%",100,1),IF(ISNUMBER(D32),D32,""))))</f>
        <v/>
      </c>
      <c r="Y32" s="11">
        <f>IF(C32="","",IF(A32="","Falta periodo",IF(COUNTIF(Listas!$A$2:$A$134,A32)=0,"Periodo no válido",IF(X32="","Falta valor",IF(I32="","Falta fuente: no se mostrará",IF(AND(J32="",K32=""),"Sin evidencia",IF(N32&lt;&gt;"Validado","Sin validar","OK")))))))</f>
        <v/>
      </c>
    </row>
    <row r="33">
      <c r="A33" s="8" t="inlineStr">
        <is>
          <t>2024</t>
        </is>
      </c>
      <c r="B33" s="8" t="n"/>
      <c r="C33" s="8" t="inlineStr">
        <is>
          <t>ID12</t>
        </is>
      </c>
      <c r="D33" s="8" t="n">
        <v>60</v>
      </c>
      <c r="E33" s="8" t="n">
        <v>120</v>
      </c>
      <c r="F33" s="8" t="n"/>
      <c r="G33" s="8" t="n"/>
      <c r="H33" s="8" t="n"/>
      <c r="I33" s="8" t="inlineStr">
        <is>
          <t>EJEMPLO Encuesta o registro de la escuela, periodo 2024</t>
        </is>
      </c>
      <c r="J33" s="8" t="inlineStr">
        <is>
          <t>EV43</t>
        </is>
      </c>
      <c r="K33" s="8" t="inlineStr">
        <is>
          <t>EJEMPLO_ID12_2024.pdf</t>
        </is>
      </c>
      <c r="L33" s="8" t="inlineStr">
        <is>
          <t>EJEMPLO Coord. de calidad de Obstetricia</t>
        </is>
      </c>
      <c r="M33" s="9" t="n">
        <v>45668</v>
      </c>
      <c r="N33" s="8" t="inlineStr">
        <is>
          <t>Validado</t>
        </is>
      </c>
      <c r="O33" s="8" t="inlineStr">
        <is>
          <t>EJEMPLO Dirección de Escuela de Obstetricia</t>
        </is>
      </c>
      <c r="P33" s="9" t="n">
        <v>45669</v>
      </c>
      <c r="Q33" s="8" t="n">
        <v>1</v>
      </c>
      <c r="R33" s="8" t="n"/>
      <c r="S33" s="8" t="inlineStr">
        <is>
          <t>EJEMPLO</t>
        </is>
      </c>
      <c r="T33" s="8" t="n"/>
      <c r="U33" s="8" t="n"/>
      <c r="V33" s="11">
        <f>IF(C33="","",IFERROR(INDEX(Catalogo!$C$5:$C$129,MATCH(C33,Catalogo!$A$5:$A$129,0)),"Código no existe"))</f>
        <v/>
      </c>
      <c r="W33" s="11">
        <f>IF(C33="","",IFERROR(INDEX(Catalogo!$G$5:$G$129,MATCH(C33,Catalogo!$A$5:$A$129,0)),""))</f>
        <v/>
      </c>
      <c r="X33" s="12">
        <f>IF(C33="","",IF(ISNUMBER(F33),F33,IF(AND(ISNUMBER(D33),ISNUMBER(E33),E33&gt;0),D33/E33*IF(W33="%",100,1),IF(ISNUMBER(D33),D33,""))))</f>
        <v/>
      </c>
      <c r="Y33" s="11">
        <f>IF(C33="","",IF(A33="","Falta periodo",IF(COUNTIF(Listas!$A$2:$A$134,A33)=0,"Periodo no válido",IF(X33="","Falta valor",IF(I33="","Falta fuente: no se mostrará",IF(AND(J33="",K33=""),"Sin evidencia",IF(N33&lt;&gt;"Validado","Sin validar","OK")))))))</f>
        <v/>
      </c>
    </row>
    <row r="34">
      <c r="A34" s="8" t="inlineStr">
        <is>
          <t>2025</t>
        </is>
      </c>
      <c r="B34" s="8" t="n"/>
      <c r="C34" s="8" t="inlineStr">
        <is>
          <t>ID12</t>
        </is>
      </c>
      <c r="D34" s="8" t="n">
        <v>75</v>
      </c>
      <c r="E34" s="8" t="n">
        <v>150</v>
      </c>
      <c r="F34" s="8" t="n"/>
      <c r="G34" s="8" t="n"/>
      <c r="H34" s="8" t="n"/>
      <c r="I34" s="8" t="inlineStr">
        <is>
          <t>EJEMPLO Encuesta o registro de la escuela, periodo 2025</t>
        </is>
      </c>
      <c r="J34" s="8" t="inlineStr">
        <is>
          <t>EV30</t>
        </is>
      </c>
      <c r="K34" s="8" t="inlineStr">
        <is>
          <t>EJEMPLO_ID12_2025.pdf</t>
        </is>
      </c>
      <c r="L34" s="8" t="inlineStr">
        <is>
          <t>EJEMPLO Coord. de calidad de Obstetricia</t>
        </is>
      </c>
      <c r="M34" s="9" t="n">
        <v>46041</v>
      </c>
      <c r="N34" s="8" t="inlineStr">
        <is>
          <t>Borrador</t>
        </is>
      </c>
      <c r="O34" s="8" t="n"/>
      <c r="P34" s="9" t="n"/>
      <c r="Q34" s="8" t="n">
        <v>1</v>
      </c>
      <c r="R34" s="8" t="n"/>
      <c r="S34" s="8" t="inlineStr">
        <is>
          <t>EJEMPLO</t>
        </is>
      </c>
      <c r="T34" s="8" t="n"/>
      <c r="U34" s="8" t="n"/>
      <c r="V34" s="11">
        <f>IF(C34="","",IFERROR(INDEX(Catalogo!$C$5:$C$129,MATCH(C34,Catalogo!$A$5:$A$129,0)),"Código no existe"))</f>
        <v/>
      </c>
      <c r="W34" s="11">
        <f>IF(C34="","",IFERROR(INDEX(Catalogo!$G$5:$G$129,MATCH(C34,Catalogo!$A$5:$A$129,0)),""))</f>
        <v/>
      </c>
      <c r="X34" s="12">
        <f>IF(C34="","",IF(ISNUMBER(F34),F34,IF(AND(ISNUMBER(D34),ISNUMBER(E34),E34&gt;0),D34/E34*IF(W34="%",100,1),IF(ISNUMBER(D34),D34,""))))</f>
        <v/>
      </c>
      <c r="Y34" s="11">
        <f>IF(C34="","",IF(A34="","Falta periodo",IF(COUNTIF(Listas!$A$2:$A$134,A34)=0,"Periodo no válido",IF(X34="","Falta valor",IF(I34="","Falta fuente: no se mostrará",IF(AND(J34="",K34=""),"Sin evidencia",IF(N34&lt;&gt;"Validado","Sin validar","OK")))))))</f>
        <v/>
      </c>
    </row>
    <row r="35">
      <c r="A35" s="8" t="inlineStr">
        <is>
          <t>2023</t>
        </is>
      </c>
      <c r="B35" s="8" t="n"/>
      <c r="C35" s="8" t="inlineStr">
        <is>
          <t>ID13</t>
        </is>
      </c>
      <c r="D35" s="8" t="n">
        <v>8</v>
      </c>
      <c r="E35" s="8" t="n">
        <v>120</v>
      </c>
      <c r="F35" s="8" t="n"/>
      <c r="G35" s="8" t="n"/>
      <c r="H35" s="8" t="n"/>
      <c r="I35" s="8" t="inlineStr">
        <is>
          <t>EJEMPLO Encuesta o registro de la escuela, periodo 2023</t>
        </is>
      </c>
      <c r="J35" s="8" t="n"/>
      <c r="K35" s="8" t="n"/>
      <c r="L35" s="8" t="inlineStr">
        <is>
          <t>EJEMPLO Coord. de calidad de Obstetricia</t>
        </is>
      </c>
      <c r="M35" s="9" t="n">
        <v>45313</v>
      </c>
      <c r="N35" s="8" t="inlineStr">
        <is>
          <t>Validado</t>
        </is>
      </c>
      <c r="O35" s="8" t="inlineStr">
        <is>
          <t>EJEMPLO Dirección de Escuela de Obstetricia</t>
        </is>
      </c>
      <c r="P35" s="9" t="n">
        <v>45318</v>
      </c>
      <c r="Q35" s="8" t="n">
        <v>1</v>
      </c>
      <c r="R35" s="8" t="n"/>
      <c r="S35" s="8" t="inlineStr">
        <is>
          <t>EJEMPLO</t>
        </is>
      </c>
      <c r="T35" s="8" t="n"/>
      <c r="U35" s="8" t="n"/>
      <c r="V35" s="11">
        <f>IF(C35="","",IFERROR(INDEX(Catalogo!$C$5:$C$129,MATCH(C35,Catalogo!$A$5:$A$129,0)),"Código no existe"))</f>
        <v/>
      </c>
      <c r="W35" s="11">
        <f>IF(C35="","",IFERROR(INDEX(Catalogo!$G$5:$G$129,MATCH(C35,Catalogo!$A$5:$A$129,0)),""))</f>
        <v/>
      </c>
      <c r="X35" s="12">
        <f>IF(C35="","",IF(ISNUMBER(F35),F35,IF(AND(ISNUMBER(D35),ISNUMBER(E35),E35&gt;0),D35/E35*IF(W35="%",100,1),IF(ISNUMBER(D35),D35,""))))</f>
        <v/>
      </c>
      <c r="Y35" s="11">
        <f>IF(C35="","",IF(A35="","Falta periodo",IF(COUNTIF(Listas!$A$2:$A$134,A35)=0,"Periodo no válido",IF(X35="","Falta valor",IF(I35="","Falta fuente: no se mostrará",IF(AND(J35="",K35=""),"Sin evidencia",IF(N35&lt;&gt;"Validado","Sin validar","OK")))))))</f>
        <v/>
      </c>
    </row>
    <row r="36">
      <c r="A36" s="8" t="inlineStr">
        <is>
          <t>2024</t>
        </is>
      </c>
      <c r="B36" s="8" t="n"/>
      <c r="C36" s="8" t="inlineStr">
        <is>
          <t>ID13</t>
        </is>
      </c>
      <c r="D36" s="8" t="n">
        <v>15</v>
      </c>
      <c r="E36" s="8" t="n">
        <v>210</v>
      </c>
      <c r="F36" s="8" t="n"/>
      <c r="G36" s="8" t="n"/>
      <c r="H36" s="8" t="n"/>
      <c r="I36" s="8" t="inlineStr">
        <is>
          <t>EJEMPLO Encuesta o registro de la escuela, periodo 2024</t>
        </is>
      </c>
      <c r="J36" s="8" t="n"/>
      <c r="K36" s="8" t="n"/>
      <c r="L36" s="8" t="inlineStr">
        <is>
          <t>EJEMPLO Coord. de calidad de Obstetricia</t>
        </is>
      </c>
      <c r="M36" s="9" t="n">
        <v>45670</v>
      </c>
      <c r="N36" s="8" t="inlineStr">
        <is>
          <t>Validado</t>
        </is>
      </c>
      <c r="O36" s="8" t="inlineStr">
        <is>
          <t>EJEMPLO Dirección de Escuela de Obstetricia</t>
        </is>
      </c>
      <c r="P36" s="9" t="n">
        <v>45677</v>
      </c>
      <c r="Q36" s="8" t="n">
        <v>1</v>
      </c>
      <c r="R36" s="8" t="n"/>
      <c r="S36" s="8" t="inlineStr">
        <is>
          <t>EJEMPLO</t>
        </is>
      </c>
      <c r="T36" s="8" t="n"/>
      <c r="U36" s="8" t="n"/>
      <c r="V36" s="11">
        <f>IF(C36="","",IFERROR(INDEX(Catalogo!$C$5:$C$129,MATCH(C36,Catalogo!$A$5:$A$129,0)),"Código no existe"))</f>
        <v/>
      </c>
      <c r="W36" s="11">
        <f>IF(C36="","",IFERROR(INDEX(Catalogo!$G$5:$G$129,MATCH(C36,Catalogo!$A$5:$A$129,0)),""))</f>
        <v/>
      </c>
      <c r="X36" s="12">
        <f>IF(C36="","",IF(ISNUMBER(F36),F36,IF(AND(ISNUMBER(D36),ISNUMBER(E36),E36&gt;0),D36/E36*IF(W36="%",100,1),IF(ISNUMBER(D36),D36,""))))</f>
        <v/>
      </c>
      <c r="Y36" s="11">
        <f>IF(C36="","",IF(A36="","Falta periodo",IF(COUNTIF(Listas!$A$2:$A$134,A36)=0,"Periodo no válido",IF(X36="","Falta valor",IF(I36="","Falta fuente: no se mostrará",IF(AND(J36="",K36=""),"Sin evidencia",IF(N36&lt;&gt;"Validado","Sin validar","OK")))))))</f>
        <v/>
      </c>
    </row>
    <row r="37">
      <c r="A37" s="8" t="inlineStr">
        <is>
          <t>2025</t>
        </is>
      </c>
      <c r="B37" s="8" t="n"/>
      <c r="C37" s="8" t="inlineStr">
        <is>
          <t>ID13</t>
        </is>
      </c>
      <c r="D37" s="8" t="n">
        <v>24</v>
      </c>
      <c r="E37" s="8" t="n">
        <v>320</v>
      </c>
      <c r="F37" s="8" t="n"/>
      <c r="G37" s="8" t="n"/>
      <c r="H37" s="8" t="n"/>
      <c r="I37" s="8" t="inlineStr">
        <is>
          <t>EJEMPLO Encuesta o registro de la escuela, periodo 2025</t>
        </is>
      </c>
      <c r="J37" s="8" t="inlineStr">
        <is>
          <t>EV35</t>
        </is>
      </c>
      <c r="K37" s="8" t="inlineStr">
        <is>
          <t>EJEMPLO_ID13_2025.pdf</t>
        </is>
      </c>
      <c r="L37" s="8" t="inlineStr">
        <is>
          <t>EJEMPLO Coord. de calidad de Obstetricia</t>
        </is>
      </c>
      <c r="M37" s="9" t="n">
        <v>46030</v>
      </c>
      <c r="N37" s="8" t="inlineStr">
        <is>
          <t>Validado</t>
        </is>
      </c>
      <c r="O37" s="8" t="inlineStr">
        <is>
          <t>EJEMPLO Dirección de Escuela de Obstetricia</t>
        </is>
      </c>
      <c r="P37" s="9" t="n">
        <v>46032</v>
      </c>
      <c r="Q37" s="8" t="n">
        <v>1</v>
      </c>
      <c r="R37" s="8" t="n"/>
      <c r="S37" s="8" t="inlineStr">
        <is>
          <t>EJEMPLO</t>
        </is>
      </c>
      <c r="T37" s="8" t="n"/>
      <c r="U37" s="8" t="n"/>
      <c r="V37" s="11">
        <f>IF(C37="","",IFERROR(INDEX(Catalogo!$C$5:$C$129,MATCH(C37,Catalogo!$A$5:$A$129,0)),"Código no existe"))</f>
        <v/>
      </c>
      <c r="W37" s="11">
        <f>IF(C37="","",IFERROR(INDEX(Catalogo!$G$5:$G$129,MATCH(C37,Catalogo!$A$5:$A$129,0)),""))</f>
        <v/>
      </c>
      <c r="X37" s="12">
        <f>IF(C37="","",IF(ISNUMBER(F37),F37,IF(AND(ISNUMBER(D37),ISNUMBER(E37),E37&gt;0),D37/E37*IF(W37="%",100,1),IF(ISNUMBER(D37),D37,""))))</f>
        <v/>
      </c>
      <c r="Y37" s="11">
        <f>IF(C37="","",IF(A37="","Falta periodo",IF(COUNTIF(Listas!$A$2:$A$134,A37)=0,"Periodo no válido",IF(X37="","Falta valor",IF(I37="","Falta fuente: no se mostrará",IF(AND(J37="",K37=""),"Sin evidencia",IF(N37&lt;&gt;"Validado","Sin validar","OK")))))))</f>
        <v/>
      </c>
    </row>
    <row r="38">
      <c r="A38" s="8" t="inlineStr">
        <is>
          <t>2023</t>
        </is>
      </c>
      <c r="B38" s="8" t="n"/>
      <c r="C38" s="8" t="inlineStr">
        <is>
          <t>ID14</t>
        </is>
      </c>
      <c r="D38" s="8" t="n">
        <v>48</v>
      </c>
      <c r="E38" s="8" t="n">
        <v>210</v>
      </c>
      <c r="F38" s="8" t="n"/>
      <c r="G38" s="8" t="n"/>
      <c r="H38" s="8" t="n"/>
      <c r="I38" s="8" t="inlineStr">
        <is>
          <t>EJEMPLO Encuesta o registro de la escuela, periodo 2023</t>
        </is>
      </c>
      <c r="J38" s="8" t="inlineStr">
        <is>
          <t>EV13</t>
        </is>
      </c>
      <c r="K38" s="8" t="inlineStr">
        <is>
          <t>EJEMPLO_ID14_2023.pdf</t>
        </is>
      </c>
      <c r="L38" s="8" t="inlineStr">
        <is>
          <t>EJEMPLO Coord. de calidad de Obstetricia</t>
        </is>
      </c>
      <c r="M38" s="9" t="n">
        <v>45300</v>
      </c>
      <c r="N38" s="8" t="inlineStr">
        <is>
          <t>Validado</t>
        </is>
      </c>
      <c r="O38" s="8" t="inlineStr">
        <is>
          <t>EJEMPLO Dirección de Escuela de Obstetricia</t>
        </is>
      </c>
      <c r="P38" s="9" t="n">
        <v>45305</v>
      </c>
      <c r="Q38" s="8" t="n">
        <v>1</v>
      </c>
      <c r="R38" s="8" t="n"/>
      <c r="S38" s="8" t="inlineStr">
        <is>
          <t>EJEMPLO</t>
        </is>
      </c>
      <c r="T38" s="8" t="n"/>
      <c r="U38" s="8" t="n"/>
      <c r="V38" s="11">
        <f>IF(C38="","",IFERROR(INDEX(Catalogo!$C$5:$C$129,MATCH(C38,Catalogo!$A$5:$A$129,0)),"Código no existe"))</f>
        <v/>
      </c>
      <c r="W38" s="11">
        <f>IF(C38="","",IFERROR(INDEX(Catalogo!$G$5:$G$129,MATCH(C38,Catalogo!$A$5:$A$129,0)),""))</f>
        <v/>
      </c>
      <c r="X38" s="12">
        <f>IF(C38="","",IF(ISNUMBER(F38),F38,IF(AND(ISNUMBER(D38),ISNUMBER(E38),E38&gt;0),D38/E38*IF(W38="%",100,1),IF(ISNUMBER(D38),D38,""))))</f>
        <v/>
      </c>
      <c r="Y38" s="11">
        <f>IF(C38="","",IF(A38="","Falta periodo",IF(COUNTIF(Listas!$A$2:$A$134,A38)=0,"Periodo no válido",IF(X38="","Falta valor",IF(I38="","Falta fuente: no se mostrará",IF(AND(J38="",K38=""),"Sin evidencia",IF(N38&lt;&gt;"Validado","Sin validar","OK")))))))</f>
        <v/>
      </c>
    </row>
    <row r="39">
      <c r="A39" s="8" t="inlineStr">
        <is>
          <t>2024</t>
        </is>
      </c>
      <c r="B39" s="8" t="n"/>
      <c r="C39" s="8" t="inlineStr">
        <is>
          <t>ID14</t>
        </is>
      </c>
      <c r="D39" s="8" t="n">
        <v>11</v>
      </c>
      <c r="E39" s="8" t="n">
        <v>48</v>
      </c>
      <c r="F39" s="8" t="n"/>
      <c r="G39" s="8" t="n"/>
      <c r="H39" s="8" t="n"/>
      <c r="I39" s="8" t="inlineStr">
        <is>
          <t>EJEMPLO Encuesta o registro de la escuela, periodo 2024</t>
        </is>
      </c>
      <c r="J39" s="8" t="inlineStr">
        <is>
          <t>EV35</t>
        </is>
      </c>
      <c r="K39" s="8" t="inlineStr">
        <is>
          <t>EJEMPLO_ID14_2024.pdf</t>
        </is>
      </c>
      <c r="L39" s="8" t="inlineStr">
        <is>
          <t>EJEMPLO Coord. de calidad de Obstetricia</t>
        </is>
      </c>
      <c r="M39" s="9" t="n">
        <v>45675</v>
      </c>
      <c r="N39" s="8" t="inlineStr">
        <is>
          <t>Validado</t>
        </is>
      </c>
      <c r="O39" s="8" t="inlineStr">
        <is>
          <t>EJEMPLO Dirección de Escuela de Obstetricia</t>
        </is>
      </c>
      <c r="P39" s="9" t="n">
        <v>45678</v>
      </c>
      <c r="Q39" s="8" t="n">
        <v>1</v>
      </c>
      <c r="R39" s="8" t="n"/>
      <c r="S39" s="8" t="inlineStr">
        <is>
          <t>EJEMPLO</t>
        </is>
      </c>
      <c r="T39" s="8" t="n"/>
      <c r="U39" s="8" t="n"/>
      <c r="V39" s="11">
        <f>IF(C39="","",IFERROR(INDEX(Catalogo!$C$5:$C$129,MATCH(C39,Catalogo!$A$5:$A$129,0)),"Código no existe"))</f>
        <v/>
      </c>
      <c r="W39" s="11">
        <f>IF(C39="","",IFERROR(INDEX(Catalogo!$G$5:$G$129,MATCH(C39,Catalogo!$A$5:$A$129,0)),""))</f>
        <v/>
      </c>
      <c r="X39" s="12">
        <f>IF(C39="","",IF(ISNUMBER(F39),F39,IF(AND(ISNUMBER(D39),ISNUMBER(E39),E39&gt;0),D39/E39*IF(W39="%",100,1),IF(ISNUMBER(D39),D39,""))))</f>
        <v/>
      </c>
      <c r="Y39" s="11">
        <f>IF(C39="","",IF(A39="","Falta periodo",IF(COUNTIF(Listas!$A$2:$A$134,A39)=0,"Periodo no válido",IF(X39="","Falta valor",IF(I39="","Falta fuente: no se mostrará",IF(AND(J39="",K39=""),"Sin evidencia",IF(N39&lt;&gt;"Validado","Sin validar","OK")))))))</f>
        <v/>
      </c>
    </row>
    <row r="40">
      <c r="A40" s="8" t="inlineStr">
        <is>
          <t>2025</t>
        </is>
      </c>
      <c r="B40" s="8" t="n"/>
      <c r="C40" s="8" t="inlineStr">
        <is>
          <t>ID14</t>
        </is>
      </c>
      <c r="D40" s="8" t="n">
        <v>18</v>
      </c>
      <c r="E40" s="8" t="n">
        <v>85</v>
      </c>
      <c r="F40" s="8" t="n"/>
      <c r="G40" s="8" t="n"/>
      <c r="H40" s="8" t="n"/>
      <c r="I40" s="8" t="inlineStr">
        <is>
          <t>EJEMPLO Encuesta o registro de la escuela, periodo 2025</t>
        </is>
      </c>
      <c r="J40" s="8" t="inlineStr">
        <is>
          <t>EV21</t>
        </is>
      </c>
      <c r="K40" s="8" t="inlineStr">
        <is>
          <t>EJEMPLO_ID14_2025.pdf</t>
        </is>
      </c>
      <c r="L40" s="8" t="inlineStr">
        <is>
          <t>EJEMPLO Coord. de calidad de Obstetricia</t>
        </is>
      </c>
      <c r="M40" s="9" t="n">
        <v>46029</v>
      </c>
      <c r="N40" s="8" t="inlineStr">
        <is>
          <t>Validado</t>
        </is>
      </c>
      <c r="O40" s="8" t="inlineStr">
        <is>
          <t>EJEMPLO Dirección de Escuela de Obstetricia</t>
        </is>
      </c>
      <c r="P40" s="9" t="n">
        <v>46030</v>
      </c>
      <c r="Q40" s="8" t="n">
        <v>1</v>
      </c>
      <c r="R40" s="8" t="n"/>
      <c r="S40" s="8" t="inlineStr">
        <is>
          <t>EJEMPLO</t>
        </is>
      </c>
      <c r="T40" s="8" t="n"/>
      <c r="U40" s="8" t="n"/>
      <c r="V40" s="11">
        <f>IF(C40="","",IFERROR(INDEX(Catalogo!$C$5:$C$129,MATCH(C40,Catalogo!$A$5:$A$129,0)),"Código no existe"))</f>
        <v/>
      </c>
      <c r="W40" s="11">
        <f>IF(C40="","",IFERROR(INDEX(Catalogo!$G$5:$G$129,MATCH(C40,Catalogo!$A$5:$A$129,0)),""))</f>
        <v/>
      </c>
      <c r="X40" s="12">
        <f>IF(C40="","",IF(ISNUMBER(F40),F40,IF(AND(ISNUMBER(D40),ISNUMBER(E40),E40&gt;0),D40/E40*IF(W40="%",100,1),IF(ISNUMBER(D40),D40,""))))</f>
        <v/>
      </c>
      <c r="Y40" s="11">
        <f>IF(C40="","",IF(A40="","Falta periodo",IF(COUNTIF(Listas!$A$2:$A$134,A40)=0,"Periodo no válido",IF(X40="","Falta valor",IF(I40="","Falta fuente: no se mostrará",IF(AND(J40="",K40=""),"Sin evidencia",IF(N40&lt;&gt;"Validado","Sin validar","OK")))))))</f>
        <v/>
      </c>
    </row>
    <row r="41">
      <c r="A41" s="8" t="inlineStr">
        <is>
          <t>2023</t>
        </is>
      </c>
      <c r="B41" s="8" t="n"/>
      <c r="C41" s="8" t="inlineStr">
        <is>
          <t>ID16</t>
        </is>
      </c>
      <c r="D41" s="8" t="n">
        <v>32</v>
      </c>
      <c r="E41" s="8" t="n">
        <v>60</v>
      </c>
      <c r="F41" s="8" t="n"/>
      <c r="G41" s="8" t="n"/>
      <c r="H41" s="8" t="n"/>
      <c r="I41" s="8" t="inlineStr">
        <is>
          <t>EJEMPLO Encuesta o registro de la escuela, periodo 2023</t>
        </is>
      </c>
      <c r="J41" s="8" t="inlineStr">
        <is>
          <t>EV42</t>
        </is>
      </c>
      <c r="K41" s="8" t="inlineStr">
        <is>
          <t>EJEMPLO_ID16_2023.pdf</t>
        </is>
      </c>
      <c r="L41" s="8" t="inlineStr">
        <is>
          <t>EJEMPLO Coord. de calidad de Obstetricia</t>
        </is>
      </c>
      <c r="M41" s="9" t="n">
        <v>45319</v>
      </c>
      <c r="N41" s="8" t="inlineStr">
        <is>
          <t>Validado</t>
        </is>
      </c>
      <c r="O41" s="8" t="inlineStr">
        <is>
          <t>EJEMPLO Dirección de Escuela de Obstetricia</t>
        </is>
      </c>
      <c r="P41" s="9" t="n">
        <v>45327</v>
      </c>
      <c r="Q41" s="8" t="n">
        <v>1</v>
      </c>
      <c r="R41" s="8" t="n"/>
      <c r="S41" s="8" t="inlineStr">
        <is>
          <t>EJEMPLO</t>
        </is>
      </c>
      <c r="T41" s="8" t="n"/>
      <c r="U41" s="8" t="n"/>
      <c r="V41" s="11">
        <f>IF(C41="","",IFERROR(INDEX(Catalogo!$C$5:$C$129,MATCH(C41,Catalogo!$A$5:$A$129,0)),"Código no existe"))</f>
        <v/>
      </c>
      <c r="W41" s="11">
        <f>IF(C41="","",IFERROR(INDEX(Catalogo!$G$5:$G$129,MATCH(C41,Catalogo!$A$5:$A$129,0)),""))</f>
        <v/>
      </c>
      <c r="X41" s="12">
        <f>IF(C41="","",IF(ISNUMBER(F41),F41,IF(AND(ISNUMBER(D41),ISNUMBER(E41),E41&gt;0),D41/E41*IF(W41="%",100,1),IF(ISNUMBER(D41),D41,""))))</f>
        <v/>
      </c>
      <c r="Y41" s="11">
        <f>IF(C41="","",IF(A41="","Falta periodo",IF(COUNTIF(Listas!$A$2:$A$134,A41)=0,"Periodo no válido",IF(X41="","Falta valor",IF(I41="","Falta fuente: no se mostrará",IF(AND(J41="",K41=""),"Sin evidencia",IF(N41&lt;&gt;"Validado","Sin validar","OK")))))))</f>
        <v/>
      </c>
    </row>
    <row r="42">
      <c r="A42" s="8" t="inlineStr">
        <is>
          <t>2024</t>
        </is>
      </c>
      <c r="B42" s="8" t="n"/>
      <c r="C42" s="8" t="inlineStr">
        <is>
          <t>ID16</t>
        </is>
      </c>
      <c r="D42" s="8" t="n">
        <v>32</v>
      </c>
      <c r="E42" s="8" t="n">
        <v>60</v>
      </c>
      <c r="F42" s="8" t="n"/>
      <c r="G42" s="8" t="n"/>
      <c r="H42" s="8" t="n"/>
      <c r="I42" s="8" t="inlineStr">
        <is>
          <t>EJEMPLO Encuesta o registro de la escuela, periodo 2024</t>
        </is>
      </c>
      <c r="J42" s="8" t="n"/>
      <c r="K42" s="8" t="n"/>
      <c r="L42" s="8" t="inlineStr">
        <is>
          <t>EJEMPLO Coord. de calidad de Obstetricia</t>
        </is>
      </c>
      <c r="M42" s="9" t="n">
        <v>45673</v>
      </c>
      <c r="N42" s="8" t="inlineStr">
        <is>
          <t>Validado</t>
        </is>
      </c>
      <c r="O42" s="8" t="inlineStr">
        <is>
          <t>EJEMPLO Dirección de Escuela de Obstetricia</t>
        </is>
      </c>
      <c r="P42" s="9" t="n">
        <v>45677</v>
      </c>
      <c r="Q42" s="8" t="n">
        <v>1</v>
      </c>
      <c r="R42" s="8" t="n"/>
      <c r="S42" s="8" t="inlineStr">
        <is>
          <t>EJEMPLO</t>
        </is>
      </c>
      <c r="T42" s="8" t="n"/>
      <c r="U42" s="8" t="n"/>
      <c r="V42" s="11">
        <f>IF(C42="","",IFERROR(INDEX(Catalogo!$C$5:$C$129,MATCH(C42,Catalogo!$A$5:$A$129,0)),"Código no existe"))</f>
        <v/>
      </c>
      <c r="W42" s="11">
        <f>IF(C42="","",IFERROR(INDEX(Catalogo!$G$5:$G$129,MATCH(C42,Catalogo!$A$5:$A$129,0)),""))</f>
        <v/>
      </c>
      <c r="X42" s="12">
        <f>IF(C42="","",IF(ISNUMBER(F42),F42,IF(AND(ISNUMBER(D42),ISNUMBER(E42),E42&gt;0),D42/E42*IF(W42="%",100,1),IF(ISNUMBER(D42),D42,""))))</f>
        <v/>
      </c>
      <c r="Y42" s="11">
        <f>IF(C42="","",IF(A42="","Falta periodo",IF(COUNTIF(Listas!$A$2:$A$134,A42)=0,"Periodo no válido",IF(X42="","Falta valor",IF(I42="","Falta fuente: no se mostrará",IF(AND(J42="",K42=""),"Sin evidencia",IF(N42&lt;&gt;"Validado","Sin validar","OK")))))))</f>
        <v/>
      </c>
    </row>
    <row r="43">
      <c r="A43" s="8" t="inlineStr">
        <is>
          <t>2025</t>
        </is>
      </c>
      <c r="B43" s="8" t="n"/>
      <c r="C43" s="8" t="inlineStr">
        <is>
          <t>ID16</t>
        </is>
      </c>
      <c r="D43" s="8" t="n">
        <v>161</v>
      </c>
      <c r="E43" s="8" t="n">
        <v>320</v>
      </c>
      <c r="F43" s="8" t="n"/>
      <c r="G43" s="8" t="n"/>
      <c r="H43" s="8" t="n"/>
      <c r="I43" s="8" t="inlineStr">
        <is>
          <t>EJEMPLO Encuesta o registro de la escuela, periodo 2025</t>
        </is>
      </c>
      <c r="J43" s="8" t="inlineStr">
        <is>
          <t>EV21</t>
        </is>
      </c>
      <c r="K43" s="8" t="inlineStr">
        <is>
          <t>EJEMPLO_ID16_2025.pdf</t>
        </is>
      </c>
      <c r="L43" s="8" t="inlineStr">
        <is>
          <t>EJEMPLO Coord. de calidad de Obstetricia</t>
        </is>
      </c>
      <c r="M43" s="9" t="n">
        <v>46043</v>
      </c>
      <c r="N43" s="8" t="inlineStr">
        <is>
          <t>Validado</t>
        </is>
      </c>
      <c r="O43" s="8" t="inlineStr">
        <is>
          <t>EJEMPLO Dirección de Escuela de Obstetricia</t>
        </is>
      </c>
      <c r="P43" s="9" t="n">
        <v>46048</v>
      </c>
      <c r="Q43" s="8" t="n">
        <v>1</v>
      </c>
      <c r="R43" s="8" t="n"/>
      <c r="S43" s="8" t="inlineStr">
        <is>
          <t>EJEMPLO</t>
        </is>
      </c>
      <c r="T43" s="8" t="n"/>
      <c r="U43" s="8" t="n"/>
      <c r="V43" s="11">
        <f>IF(C43="","",IFERROR(INDEX(Catalogo!$C$5:$C$129,MATCH(C43,Catalogo!$A$5:$A$129,0)),"Código no existe"))</f>
        <v/>
      </c>
      <c r="W43" s="11">
        <f>IF(C43="","",IFERROR(INDEX(Catalogo!$G$5:$G$129,MATCH(C43,Catalogo!$A$5:$A$129,0)),""))</f>
        <v/>
      </c>
      <c r="X43" s="12">
        <f>IF(C43="","",IF(ISNUMBER(F43),F43,IF(AND(ISNUMBER(D43),ISNUMBER(E43),E43&gt;0),D43/E43*IF(W43="%",100,1),IF(ISNUMBER(D43),D43,""))))</f>
        <v/>
      </c>
      <c r="Y43" s="11">
        <f>IF(C43="","",IF(A43="","Falta periodo",IF(COUNTIF(Listas!$A$2:$A$134,A43)=0,"Periodo no válido",IF(X43="","Falta valor",IF(I43="","Falta fuente: no se mostrará",IF(AND(J43="",K43=""),"Sin evidencia",IF(N43&lt;&gt;"Validado","Sin validar","OK")))))))</f>
        <v/>
      </c>
    </row>
    <row r="44">
      <c r="A44" s="8" t="inlineStr">
        <is>
          <t>2024-S2</t>
        </is>
      </c>
      <c r="B44" s="8" t="n"/>
      <c r="C44" s="8" t="inlineStr">
        <is>
          <t>ID19</t>
        </is>
      </c>
      <c r="D44" s="8" t="n">
        <v>82</v>
      </c>
      <c r="E44" s="8" t="n">
        <v>120</v>
      </c>
      <c r="F44" s="8" t="n"/>
      <c r="G44" s="8" t="n"/>
      <c r="H44" s="8" t="n"/>
      <c r="I44" s="8" t="inlineStr">
        <is>
          <t>EJEMPLO Encuesta o registro de la escuela, periodo 2024-S2</t>
        </is>
      </c>
      <c r="J44" s="8" t="inlineStr">
        <is>
          <t>EV38</t>
        </is>
      </c>
      <c r="K44" s="8" t="inlineStr">
        <is>
          <t>EJEMPLO_ID19_2024-S2.pdf</t>
        </is>
      </c>
      <c r="L44" s="8" t="inlineStr">
        <is>
          <t>EJEMPLO Coord. de calidad de Obstetricia</t>
        </is>
      </c>
      <c r="M44" s="9" t="n">
        <v>45670</v>
      </c>
      <c r="N44" s="8" t="inlineStr">
        <is>
          <t>Validado</t>
        </is>
      </c>
      <c r="O44" s="8" t="inlineStr">
        <is>
          <t>EJEMPLO Dirección de Escuela de Obstetricia</t>
        </is>
      </c>
      <c r="P44" s="9" t="n">
        <v>45674</v>
      </c>
      <c r="Q44" s="8" t="n">
        <v>1</v>
      </c>
      <c r="R44" s="8" t="n"/>
      <c r="S44" s="8" t="inlineStr">
        <is>
          <t>EJEMPLO</t>
        </is>
      </c>
      <c r="T44" s="8" t="n"/>
      <c r="U44" s="8" t="n"/>
      <c r="V44" s="11">
        <f>IF(C44="","",IFERROR(INDEX(Catalogo!$C$5:$C$129,MATCH(C44,Catalogo!$A$5:$A$129,0)),"Código no existe"))</f>
        <v/>
      </c>
      <c r="W44" s="11">
        <f>IF(C44="","",IFERROR(INDEX(Catalogo!$G$5:$G$129,MATCH(C44,Catalogo!$A$5:$A$129,0)),""))</f>
        <v/>
      </c>
      <c r="X44" s="12">
        <f>IF(C44="","",IF(ISNUMBER(F44),F44,IF(AND(ISNUMBER(D44),ISNUMBER(E44),E44&gt;0),D44/E44*IF(W44="%",100,1),IF(ISNUMBER(D44),D44,""))))</f>
        <v/>
      </c>
      <c r="Y44" s="11">
        <f>IF(C44="","",IF(A44="","Falta periodo",IF(COUNTIF(Listas!$A$2:$A$134,A44)=0,"Periodo no válido",IF(X44="","Falta valor",IF(I44="","Falta fuente: no se mostrará",IF(AND(J44="",K44=""),"Sin evidencia",IF(N44&lt;&gt;"Validado","Sin validar","OK")))))))</f>
        <v/>
      </c>
    </row>
    <row r="45">
      <c r="A45" s="8" t="inlineStr">
        <is>
          <t>2025-S1</t>
        </is>
      </c>
      <c r="B45" s="8" t="n"/>
      <c r="C45" s="8" t="inlineStr">
        <is>
          <t>ID19</t>
        </is>
      </c>
      <c r="D45" s="8" t="n">
        <v>232</v>
      </c>
      <c r="E45" s="8" t="n">
        <v>320</v>
      </c>
      <c r="F45" s="8" t="n"/>
      <c r="G45" s="8" t="n"/>
      <c r="H45" s="8" t="n"/>
      <c r="I45" s="8" t="inlineStr">
        <is>
          <t>EJEMPLO Encuesta o registro de la escuela, periodo 2025-S1</t>
        </is>
      </c>
      <c r="J45" s="8" t="n"/>
      <c r="K45" s="8" t="n"/>
      <c r="L45" s="8" t="inlineStr">
        <is>
          <t>EJEMPLO Coord. de calidad de Obstetricia</t>
        </is>
      </c>
      <c r="M45" s="9" t="n">
        <v>45856</v>
      </c>
      <c r="N45" s="8" t="inlineStr">
        <is>
          <t>Borrador</t>
        </is>
      </c>
      <c r="O45" s="8" t="n"/>
      <c r="P45" s="9" t="n"/>
      <c r="Q45" s="8" t="n">
        <v>1</v>
      </c>
      <c r="R45" s="8" t="n"/>
      <c r="S45" s="8" t="inlineStr">
        <is>
          <t>EJEMPLO</t>
        </is>
      </c>
      <c r="T45" s="8" t="n"/>
      <c r="U45" s="8" t="n"/>
      <c r="V45" s="11">
        <f>IF(C45="","",IFERROR(INDEX(Catalogo!$C$5:$C$129,MATCH(C45,Catalogo!$A$5:$A$129,0)),"Código no existe"))</f>
        <v/>
      </c>
      <c r="W45" s="11">
        <f>IF(C45="","",IFERROR(INDEX(Catalogo!$G$5:$G$129,MATCH(C45,Catalogo!$A$5:$A$129,0)),""))</f>
        <v/>
      </c>
      <c r="X45" s="12">
        <f>IF(C45="","",IF(ISNUMBER(F45),F45,IF(AND(ISNUMBER(D45),ISNUMBER(E45),E45&gt;0),D45/E45*IF(W45="%",100,1),IF(ISNUMBER(D45),D45,""))))</f>
        <v/>
      </c>
      <c r="Y45" s="11">
        <f>IF(C45="","",IF(A45="","Falta periodo",IF(COUNTIF(Listas!$A$2:$A$134,A45)=0,"Periodo no válido",IF(X45="","Falta valor",IF(I45="","Falta fuente: no se mostrará",IF(AND(J45="",K45=""),"Sin evidencia",IF(N45&lt;&gt;"Validado","Sin validar","OK")))))))</f>
        <v/>
      </c>
    </row>
    <row r="46">
      <c r="A46" s="8" t="inlineStr">
        <is>
          <t>2025-S2</t>
        </is>
      </c>
      <c r="B46" s="8" t="n"/>
      <c r="C46" s="8" t="inlineStr">
        <is>
          <t>ID19</t>
        </is>
      </c>
      <c r="D46" s="8" t="n">
        <v>32</v>
      </c>
      <c r="E46" s="8" t="n">
        <v>48</v>
      </c>
      <c r="F46" s="8" t="n"/>
      <c r="G46" s="8" t="n"/>
      <c r="H46" s="8" t="n"/>
      <c r="I46" s="8" t="inlineStr">
        <is>
          <t>EJEMPLO Encuesta o registro de la escuela, periodo 2025-S2</t>
        </is>
      </c>
      <c r="J46" s="8" t="n"/>
      <c r="K46" s="8" t="n"/>
      <c r="L46" s="8" t="inlineStr">
        <is>
          <t>EJEMPLO Coord. de calidad de Obstetricia</t>
        </is>
      </c>
      <c r="M46" s="9" t="n">
        <v>46049</v>
      </c>
      <c r="N46" s="8" t="inlineStr">
        <is>
          <t>Validado</t>
        </is>
      </c>
      <c r="O46" s="8" t="inlineStr">
        <is>
          <t>EJEMPLO Dirección de Escuela de Obstetricia</t>
        </is>
      </c>
      <c r="P46" s="9" t="n">
        <v>46053</v>
      </c>
      <c r="Q46" s="8" t="n">
        <v>1</v>
      </c>
      <c r="R46" s="8" t="n"/>
      <c r="S46" s="8" t="inlineStr">
        <is>
          <t>EJEMPLO</t>
        </is>
      </c>
      <c r="T46" s="8" t="n"/>
      <c r="U46" s="8" t="n"/>
      <c r="V46" s="11">
        <f>IF(C46="","",IFERROR(INDEX(Catalogo!$C$5:$C$129,MATCH(C46,Catalogo!$A$5:$A$129,0)),"Código no existe"))</f>
        <v/>
      </c>
      <c r="W46" s="11">
        <f>IF(C46="","",IFERROR(INDEX(Catalogo!$G$5:$G$129,MATCH(C46,Catalogo!$A$5:$A$129,0)),""))</f>
        <v/>
      </c>
      <c r="X46" s="12">
        <f>IF(C46="","",IF(ISNUMBER(F46),F46,IF(AND(ISNUMBER(D46),ISNUMBER(E46),E46&gt;0),D46/E46*IF(W46="%",100,1),IF(ISNUMBER(D46),D46,""))))</f>
        <v/>
      </c>
      <c r="Y46" s="11">
        <f>IF(C46="","",IF(A46="","Falta periodo",IF(COUNTIF(Listas!$A$2:$A$134,A46)=0,"Periodo no válido",IF(X46="","Falta valor",IF(I46="","Falta fuente: no se mostrará",IF(AND(J46="",K46=""),"Sin evidencia",IF(N46&lt;&gt;"Validado","Sin validar","OK")))))))</f>
        <v/>
      </c>
    </row>
    <row r="47">
      <c r="A47" s="8" t="inlineStr">
        <is>
          <t>2026-S1</t>
        </is>
      </c>
      <c r="B47" s="8" t="n"/>
      <c r="C47" s="8" t="inlineStr">
        <is>
          <t>ID19</t>
        </is>
      </c>
      <c r="D47" s="8" t="n">
        <v>131</v>
      </c>
      <c r="E47" s="8" t="n">
        <v>210</v>
      </c>
      <c r="F47" s="8" t="n"/>
      <c r="G47" s="8" t="n"/>
      <c r="H47" s="8" t="n"/>
      <c r="I47" s="8" t="inlineStr">
        <is>
          <t>EJEMPLO Encuesta o registro de la escuela, periodo 2026-S1</t>
        </is>
      </c>
      <c r="J47" s="8" t="inlineStr">
        <is>
          <t>EV38</t>
        </is>
      </c>
      <c r="K47" s="8" t="inlineStr">
        <is>
          <t>EJEMPLO_ID19_2026-S1.pdf</t>
        </is>
      </c>
      <c r="L47" s="8" t="inlineStr">
        <is>
          <t>EJEMPLO Coord. de calidad de Obstetricia</t>
        </is>
      </c>
      <c r="M47" s="9" t="n">
        <v>46217</v>
      </c>
      <c r="N47" s="8" t="inlineStr">
        <is>
          <t>Validado</t>
        </is>
      </c>
      <c r="O47" s="8" t="inlineStr">
        <is>
          <t>EJEMPLO Dirección de Escuela de Obstetricia</t>
        </is>
      </c>
      <c r="P47" s="9" t="n">
        <v>46222</v>
      </c>
      <c r="Q47" s="8" t="n">
        <v>1</v>
      </c>
      <c r="R47" s="8" t="n"/>
      <c r="S47" s="8" t="inlineStr">
        <is>
          <t>EJEMPLO</t>
        </is>
      </c>
      <c r="T47" s="8" t="n"/>
      <c r="U47" s="8" t="n"/>
      <c r="V47" s="11">
        <f>IF(C47="","",IFERROR(INDEX(Catalogo!$C$5:$C$129,MATCH(C47,Catalogo!$A$5:$A$129,0)),"Código no existe"))</f>
        <v/>
      </c>
      <c r="W47" s="11">
        <f>IF(C47="","",IFERROR(INDEX(Catalogo!$G$5:$G$129,MATCH(C47,Catalogo!$A$5:$A$129,0)),""))</f>
        <v/>
      </c>
      <c r="X47" s="12">
        <f>IF(C47="","",IF(ISNUMBER(F47),F47,IF(AND(ISNUMBER(D47),ISNUMBER(E47),E47&gt;0),D47/E47*IF(W47="%",100,1),IF(ISNUMBER(D47),D47,""))))</f>
        <v/>
      </c>
      <c r="Y47" s="11">
        <f>IF(C47="","",IF(A47="","Falta periodo",IF(COUNTIF(Listas!$A$2:$A$134,A47)=0,"Periodo no válido",IF(X47="","Falta valor",IF(I47="","Falta fuente: no se mostrará",IF(AND(J47="",K47=""),"Sin evidencia",IF(N47&lt;&gt;"Validado","Sin validar","OK")))))))</f>
        <v/>
      </c>
    </row>
    <row r="48">
      <c r="A48" s="8" t="inlineStr">
        <is>
          <t>2024</t>
        </is>
      </c>
      <c r="B48" s="8" t="n"/>
      <c r="C48" s="8" t="inlineStr">
        <is>
          <t>ID20</t>
        </is>
      </c>
      <c r="D48" s="8" t="n">
        <v>31</v>
      </c>
      <c r="E48" s="8" t="n">
        <v>48</v>
      </c>
      <c r="F48" s="8" t="n"/>
      <c r="G48" s="8" t="n"/>
      <c r="H48" s="8" t="n"/>
      <c r="I48" s="8" t="inlineStr">
        <is>
          <t>EJEMPLO Encuesta o registro de la escuela, periodo 2024</t>
        </is>
      </c>
      <c r="J48" s="8" t="inlineStr">
        <is>
          <t>EV13</t>
        </is>
      </c>
      <c r="K48" s="8" t="inlineStr">
        <is>
          <t>EJEMPLO_ID20_2024.pdf</t>
        </is>
      </c>
      <c r="L48" s="8" t="inlineStr">
        <is>
          <t>EJEMPLO Coord. de calidad de Obstetricia</t>
        </is>
      </c>
      <c r="M48" s="9" t="n">
        <v>45675</v>
      </c>
      <c r="N48" s="8" t="inlineStr">
        <is>
          <t>Validado</t>
        </is>
      </c>
      <c r="O48" s="8" t="inlineStr">
        <is>
          <t>EJEMPLO Dirección de Escuela de Obstetricia</t>
        </is>
      </c>
      <c r="P48" s="9" t="n">
        <v>45684</v>
      </c>
      <c r="Q48" s="8" t="n">
        <v>1</v>
      </c>
      <c r="R48" s="8" t="n"/>
      <c r="S48" s="8" t="inlineStr">
        <is>
          <t>EJEMPLO</t>
        </is>
      </c>
      <c r="T48" s="8" t="n"/>
      <c r="U48" s="8" t="n"/>
      <c r="V48" s="11">
        <f>IF(C48="","",IFERROR(INDEX(Catalogo!$C$5:$C$129,MATCH(C48,Catalogo!$A$5:$A$129,0)),"Código no existe"))</f>
        <v/>
      </c>
      <c r="W48" s="11">
        <f>IF(C48="","",IFERROR(INDEX(Catalogo!$G$5:$G$129,MATCH(C48,Catalogo!$A$5:$A$129,0)),""))</f>
        <v/>
      </c>
      <c r="X48" s="12">
        <f>IF(C48="","",IF(ISNUMBER(F48),F48,IF(AND(ISNUMBER(D48),ISNUMBER(E48),E48&gt;0),D48/E48*IF(W48="%",100,1),IF(ISNUMBER(D48),D48,""))))</f>
        <v/>
      </c>
      <c r="Y48" s="11">
        <f>IF(C48="","",IF(A48="","Falta periodo",IF(COUNTIF(Listas!$A$2:$A$134,A48)=0,"Periodo no válido",IF(X48="","Falta valor",IF(I48="","Falta fuente: no se mostrará",IF(AND(J48="",K48=""),"Sin evidencia",IF(N48&lt;&gt;"Validado","Sin validar","OK")))))))</f>
        <v/>
      </c>
    </row>
    <row r="49">
      <c r="A49" s="8" t="inlineStr">
        <is>
          <t>2025</t>
        </is>
      </c>
      <c r="B49" s="8" t="n"/>
      <c r="C49" s="8" t="inlineStr">
        <is>
          <t>ID20</t>
        </is>
      </c>
      <c r="D49" s="8" t="n">
        <v>91</v>
      </c>
      <c r="E49" s="8" t="n">
        <v>150</v>
      </c>
      <c r="F49" s="8" t="n"/>
      <c r="G49" s="8" t="n"/>
      <c r="H49" s="8" t="n"/>
      <c r="I49" s="8" t="inlineStr">
        <is>
          <t>EJEMPLO Encuesta o registro de la escuela, periodo 2025</t>
        </is>
      </c>
      <c r="J49" s="8" t="inlineStr">
        <is>
          <t>EV35</t>
        </is>
      </c>
      <c r="K49" s="8" t="inlineStr">
        <is>
          <t>EJEMPLO_ID20_2025.pdf</t>
        </is>
      </c>
      <c r="L49" s="8" t="inlineStr">
        <is>
          <t>EJEMPLO Coord. de calidad de Obstetricia</t>
        </is>
      </c>
      <c r="M49" s="9" t="n">
        <v>46047</v>
      </c>
      <c r="N49" s="8" t="inlineStr">
        <is>
          <t>Borrador</t>
        </is>
      </c>
      <c r="O49" s="8" t="n"/>
      <c r="P49" s="9" t="n"/>
      <c r="Q49" s="8" t="n">
        <v>1</v>
      </c>
      <c r="R49" s="8" t="n"/>
      <c r="S49" s="8" t="inlineStr">
        <is>
          <t>EJEMPLO</t>
        </is>
      </c>
      <c r="T49" s="8" t="n"/>
      <c r="U49" s="8" t="n"/>
      <c r="V49" s="11">
        <f>IF(C49="","",IFERROR(INDEX(Catalogo!$C$5:$C$129,MATCH(C49,Catalogo!$A$5:$A$129,0)),"Código no existe"))</f>
        <v/>
      </c>
      <c r="W49" s="11">
        <f>IF(C49="","",IFERROR(INDEX(Catalogo!$G$5:$G$129,MATCH(C49,Catalogo!$A$5:$A$129,0)),""))</f>
        <v/>
      </c>
      <c r="X49" s="12">
        <f>IF(C49="","",IF(ISNUMBER(F49),F49,IF(AND(ISNUMBER(D49),ISNUMBER(E49),E49&gt;0),D49/E49*IF(W49="%",100,1),IF(ISNUMBER(D49),D49,""))))</f>
        <v/>
      </c>
      <c r="Y49" s="11">
        <f>IF(C49="","",IF(A49="","Falta periodo",IF(COUNTIF(Listas!$A$2:$A$134,A49)=0,"Periodo no válido",IF(X49="","Falta valor",IF(I49="","Falta fuente: no se mostrará",IF(AND(J49="",K49=""),"Sin evidencia",IF(N49&lt;&gt;"Validado","Sin validar","OK")))))))</f>
        <v/>
      </c>
    </row>
    <row r="50">
      <c r="A50" s="8" t="inlineStr">
        <is>
          <t>2023</t>
        </is>
      </c>
      <c r="B50" s="8" t="n"/>
      <c r="C50" s="8" t="inlineStr">
        <is>
          <t>ID21</t>
        </is>
      </c>
      <c r="D50" s="8" t="n">
        <v>38</v>
      </c>
      <c r="E50" s="8" t="n">
        <v>60</v>
      </c>
      <c r="F50" s="8" t="n"/>
      <c r="G50" s="8" t="n"/>
      <c r="H50" s="8" t="n"/>
      <c r="I50" s="8" t="inlineStr">
        <is>
          <t>EJEMPLO Encuesta o registro de la escuela, periodo 2023</t>
        </is>
      </c>
      <c r="J50" s="8" t="inlineStr">
        <is>
          <t>EV35</t>
        </is>
      </c>
      <c r="K50" s="8" t="inlineStr">
        <is>
          <t>EJEMPLO_ID21_2023.pdf</t>
        </is>
      </c>
      <c r="L50" s="8" t="inlineStr">
        <is>
          <t>EJEMPLO Coord. de calidad de Obstetricia</t>
        </is>
      </c>
      <c r="M50" s="9" t="n">
        <v>45316</v>
      </c>
      <c r="N50" s="8" t="inlineStr">
        <is>
          <t>Validado</t>
        </is>
      </c>
      <c r="O50" s="8" t="inlineStr">
        <is>
          <t>EJEMPLO Dirección de Escuela de Obstetricia</t>
        </is>
      </c>
      <c r="P50" s="9" t="n">
        <v>45322</v>
      </c>
      <c r="Q50" s="8" t="n">
        <v>1</v>
      </c>
      <c r="R50" s="8" t="n"/>
      <c r="S50" s="8" t="inlineStr">
        <is>
          <t>EJEMPLO</t>
        </is>
      </c>
      <c r="T50" s="8" t="n"/>
      <c r="U50" s="8" t="n"/>
      <c r="V50" s="11">
        <f>IF(C50="","",IFERROR(INDEX(Catalogo!$C$5:$C$129,MATCH(C50,Catalogo!$A$5:$A$129,0)),"Código no existe"))</f>
        <v/>
      </c>
      <c r="W50" s="11">
        <f>IF(C50="","",IFERROR(INDEX(Catalogo!$G$5:$G$129,MATCH(C50,Catalogo!$A$5:$A$129,0)),""))</f>
        <v/>
      </c>
      <c r="X50" s="12">
        <f>IF(C50="","",IF(ISNUMBER(F50),F50,IF(AND(ISNUMBER(D50),ISNUMBER(E50),E50&gt;0),D50/E50*IF(W50="%",100,1),IF(ISNUMBER(D50),D50,""))))</f>
        <v/>
      </c>
      <c r="Y50" s="11">
        <f>IF(C50="","",IF(A50="","Falta periodo",IF(COUNTIF(Listas!$A$2:$A$134,A50)=0,"Periodo no válido",IF(X50="","Falta valor",IF(I50="","Falta fuente: no se mostrará",IF(AND(J50="",K50=""),"Sin evidencia",IF(N50&lt;&gt;"Validado","Sin validar","OK")))))))</f>
        <v/>
      </c>
    </row>
    <row r="51">
      <c r="A51" s="8" t="inlineStr">
        <is>
          <t>2024</t>
        </is>
      </c>
      <c r="B51" s="8" t="n"/>
      <c r="C51" s="8" t="inlineStr">
        <is>
          <t>ID21</t>
        </is>
      </c>
      <c r="D51" s="8" t="n">
        <v>86</v>
      </c>
      <c r="E51" s="8" t="n">
        <v>150</v>
      </c>
      <c r="F51" s="8" t="n"/>
      <c r="G51" s="8" t="n"/>
      <c r="H51" s="8" t="n"/>
      <c r="I51" s="8" t="inlineStr">
        <is>
          <t>EJEMPLO Encuesta o registro de la escuela, periodo 2024</t>
        </is>
      </c>
      <c r="J51" s="8" t="inlineStr">
        <is>
          <t>EV42</t>
        </is>
      </c>
      <c r="K51" s="8" t="inlineStr">
        <is>
          <t>EJEMPLO_ID21_2024.pdf</t>
        </is>
      </c>
      <c r="L51" s="8" t="inlineStr">
        <is>
          <t>EJEMPLO Coord. de calidad de Obstetricia</t>
        </is>
      </c>
      <c r="M51" s="9" t="n">
        <v>45684</v>
      </c>
      <c r="N51" s="8" t="inlineStr">
        <is>
          <t>Validado</t>
        </is>
      </c>
      <c r="O51" s="8" t="inlineStr">
        <is>
          <t>EJEMPLO Dirección de Escuela de Obstetricia</t>
        </is>
      </c>
      <c r="P51" s="9" t="n">
        <v>45691</v>
      </c>
      <c r="Q51" s="8" t="n">
        <v>1</v>
      </c>
      <c r="R51" s="8" t="n"/>
      <c r="S51" s="8" t="inlineStr">
        <is>
          <t>EJEMPLO</t>
        </is>
      </c>
      <c r="T51" s="8" t="n"/>
      <c r="U51" s="8" t="n"/>
      <c r="V51" s="11">
        <f>IF(C51="","",IFERROR(INDEX(Catalogo!$C$5:$C$129,MATCH(C51,Catalogo!$A$5:$A$129,0)),"Código no existe"))</f>
        <v/>
      </c>
      <c r="W51" s="11">
        <f>IF(C51="","",IFERROR(INDEX(Catalogo!$G$5:$G$129,MATCH(C51,Catalogo!$A$5:$A$129,0)),""))</f>
        <v/>
      </c>
      <c r="X51" s="12">
        <f>IF(C51="","",IF(ISNUMBER(F51),F51,IF(AND(ISNUMBER(D51),ISNUMBER(E51),E51&gt;0),D51/E51*IF(W51="%",100,1),IF(ISNUMBER(D51),D51,""))))</f>
        <v/>
      </c>
      <c r="Y51" s="11">
        <f>IF(C51="","",IF(A51="","Falta periodo",IF(COUNTIF(Listas!$A$2:$A$134,A51)=0,"Periodo no válido",IF(X51="","Falta valor",IF(I51="","Falta fuente: no se mostrará",IF(AND(J51="",K51=""),"Sin evidencia",IF(N51&lt;&gt;"Validado","Sin validar","OK")))))))</f>
        <v/>
      </c>
    </row>
    <row r="52">
      <c r="A52" s="8" t="inlineStr">
        <is>
          <t>2025</t>
        </is>
      </c>
      <c r="B52" s="8" t="n"/>
      <c r="C52" s="8" t="inlineStr">
        <is>
          <t>ID21</t>
        </is>
      </c>
      <c r="D52" s="8" t="n">
        <v>36</v>
      </c>
      <c r="E52" s="8" t="n">
        <v>60</v>
      </c>
      <c r="F52" s="8" t="n"/>
      <c r="G52" s="8" t="n"/>
      <c r="H52" s="8" t="n"/>
      <c r="I52" s="8" t="inlineStr">
        <is>
          <t>EJEMPLO Encuesta o registro de la escuela, periodo 2025</t>
        </is>
      </c>
      <c r="J52" s="8" t="inlineStr">
        <is>
          <t>EV38</t>
        </is>
      </c>
      <c r="K52" s="8" t="inlineStr">
        <is>
          <t>EJEMPLO_ID21_2025.pdf</t>
        </is>
      </c>
      <c r="L52" s="8" t="inlineStr">
        <is>
          <t>EJEMPLO Coord. de calidad de Obstetricia</t>
        </is>
      </c>
      <c r="M52" s="9" t="n">
        <v>46032</v>
      </c>
      <c r="N52" s="8" t="inlineStr">
        <is>
          <t>Borrador</t>
        </is>
      </c>
      <c r="O52" s="8" t="n"/>
      <c r="P52" s="9" t="n"/>
      <c r="Q52" s="8" t="n">
        <v>1</v>
      </c>
      <c r="R52" s="8" t="n"/>
      <c r="S52" s="8" t="inlineStr">
        <is>
          <t>EJEMPLO</t>
        </is>
      </c>
      <c r="T52" s="8" t="n"/>
      <c r="U52" s="8" t="n"/>
      <c r="V52" s="11">
        <f>IF(C52="","",IFERROR(INDEX(Catalogo!$C$5:$C$129,MATCH(C52,Catalogo!$A$5:$A$129,0)),"Código no existe"))</f>
        <v/>
      </c>
      <c r="W52" s="11">
        <f>IF(C52="","",IFERROR(INDEX(Catalogo!$G$5:$G$129,MATCH(C52,Catalogo!$A$5:$A$129,0)),""))</f>
        <v/>
      </c>
      <c r="X52" s="12">
        <f>IF(C52="","",IF(ISNUMBER(F52),F52,IF(AND(ISNUMBER(D52),ISNUMBER(E52),E52&gt;0),D52/E52*IF(W52="%",100,1),IF(ISNUMBER(D52),D52,""))))</f>
        <v/>
      </c>
      <c r="Y52" s="11">
        <f>IF(C52="","",IF(A52="","Falta periodo",IF(COUNTIF(Listas!$A$2:$A$134,A52)=0,"Periodo no válido",IF(X52="","Falta valor",IF(I52="","Falta fuente: no se mostrará",IF(AND(J52="",K52=""),"Sin evidencia",IF(N52&lt;&gt;"Validado","Sin validar","OK")))))))</f>
        <v/>
      </c>
    </row>
    <row r="53">
      <c r="A53" s="8" t="inlineStr">
        <is>
          <t>2024</t>
        </is>
      </c>
      <c r="B53" s="8" t="n"/>
      <c r="C53" s="8" t="inlineStr">
        <is>
          <t>ID22</t>
        </is>
      </c>
      <c r="D53" s="8" t="n">
        <v>56</v>
      </c>
      <c r="E53" s="8" t="n">
        <v>85</v>
      </c>
      <c r="F53" s="8" t="n"/>
      <c r="G53" s="8" t="n"/>
      <c r="H53" s="8" t="n"/>
      <c r="I53" s="8" t="inlineStr">
        <is>
          <t>EJEMPLO Encuesta o registro de la escuela, periodo 2024</t>
        </is>
      </c>
      <c r="J53" s="8" t="inlineStr">
        <is>
          <t>EV43</t>
        </is>
      </c>
      <c r="K53" s="8" t="inlineStr">
        <is>
          <t>EJEMPLO_ID22_2024.pdf</t>
        </is>
      </c>
      <c r="L53" s="8" t="inlineStr">
        <is>
          <t>EJEMPLO Coord. de calidad de Obstetricia</t>
        </is>
      </c>
      <c r="M53" s="9" t="n">
        <v>45664</v>
      </c>
      <c r="N53" s="8" t="inlineStr">
        <is>
          <t>Validado</t>
        </is>
      </c>
      <c r="O53" s="8" t="inlineStr">
        <is>
          <t>EJEMPLO Dirección de Escuela de Obstetricia</t>
        </is>
      </c>
      <c r="P53" s="9" t="n">
        <v>45665</v>
      </c>
      <c r="Q53" s="8" t="n">
        <v>1</v>
      </c>
      <c r="R53" s="8" t="n"/>
      <c r="S53" s="8" t="inlineStr">
        <is>
          <t>EJEMPLO</t>
        </is>
      </c>
      <c r="T53" s="8" t="n"/>
      <c r="U53" s="8" t="n"/>
      <c r="V53" s="11">
        <f>IF(C53="","",IFERROR(INDEX(Catalogo!$C$5:$C$129,MATCH(C53,Catalogo!$A$5:$A$129,0)),"Código no existe"))</f>
        <v/>
      </c>
      <c r="W53" s="11">
        <f>IF(C53="","",IFERROR(INDEX(Catalogo!$G$5:$G$129,MATCH(C53,Catalogo!$A$5:$A$129,0)),""))</f>
        <v/>
      </c>
      <c r="X53" s="12">
        <f>IF(C53="","",IF(ISNUMBER(F53),F53,IF(AND(ISNUMBER(D53),ISNUMBER(E53),E53&gt;0),D53/E53*IF(W53="%",100,1),IF(ISNUMBER(D53),D53,""))))</f>
        <v/>
      </c>
      <c r="Y53" s="11">
        <f>IF(C53="","",IF(A53="","Falta periodo",IF(COUNTIF(Listas!$A$2:$A$134,A53)=0,"Periodo no válido",IF(X53="","Falta valor",IF(I53="","Falta fuente: no se mostrará",IF(AND(J53="",K53=""),"Sin evidencia",IF(N53&lt;&gt;"Validado","Sin validar","OK")))))))</f>
        <v/>
      </c>
    </row>
    <row r="54">
      <c r="A54" s="8" t="inlineStr">
        <is>
          <t>2025</t>
        </is>
      </c>
      <c r="B54" s="8" t="n"/>
      <c r="C54" s="8" t="inlineStr">
        <is>
          <t>ID22</t>
        </is>
      </c>
      <c r="D54" s="8" t="n">
        <v>37</v>
      </c>
      <c r="E54" s="8" t="n">
        <v>60</v>
      </c>
      <c r="F54" s="8" t="n"/>
      <c r="G54" s="8" t="n"/>
      <c r="H54" s="8" t="n"/>
      <c r="I54" s="8" t="inlineStr">
        <is>
          <t>EJEMPLO Encuesta o registro de la escuela, periodo 2025</t>
        </is>
      </c>
      <c r="J54" s="8" t="inlineStr">
        <is>
          <t>EV30</t>
        </is>
      </c>
      <c r="K54" s="8" t="inlineStr">
        <is>
          <t>EJEMPLO_ID22_2025.pdf</t>
        </is>
      </c>
      <c r="L54" s="8" t="inlineStr">
        <is>
          <t>EJEMPLO Coord. de calidad de Obstetricia</t>
        </is>
      </c>
      <c r="M54" s="9" t="n">
        <v>46035</v>
      </c>
      <c r="N54" s="8" t="inlineStr">
        <is>
          <t>Validado</t>
        </is>
      </c>
      <c r="O54" s="8" t="inlineStr">
        <is>
          <t>EJEMPLO Dirección de Escuela de Obstetricia</t>
        </is>
      </c>
      <c r="P54" s="9" t="n">
        <v>46037</v>
      </c>
      <c r="Q54" s="8" t="n">
        <v>1</v>
      </c>
      <c r="R54" s="8" t="n"/>
      <c r="S54" s="8" t="inlineStr">
        <is>
          <t>EJEMPLO</t>
        </is>
      </c>
      <c r="T54" s="8" t="n"/>
      <c r="U54" s="8" t="n"/>
      <c r="V54" s="11">
        <f>IF(C54="","",IFERROR(INDEX(Catalogo!$C$5:$C$129,MATCH(C54,Catalogo!$A$5:$A$129,0)),"Código no existe"))</f>
        <v/>
      </c>
      <c r="W54" s="11">
        <f>IF(C54="","",IFERROR(INDEX(Catalogo!$G$5:$G$129,MATCH(C54,Catalogo!$A$5:$A$129,0)),""))</f>
        <v/>
      </c>
      <c r="X54" s="12">
        <f>IF(C54="","",IF(ISNUMBER(F54),F54,IF(AND(ISNUMBER(D54),ISNUMBER(E54),E54&gt;0),D54/E54*IF(W54="%",100,1),IF(ISNUMBER(D54),D54,""))))</f>
        <v/>
      </c>
      <c r="Y54" s="11">
        <f>IF(C54="","",IF(A54="","Falta periodo",IF(COUNTIF(Listas!$A$2:$A$134,A54)=0,"Periodo no válido",IF(X54="","Falta valor",IF(I54="","Falta fuente: no se mostrará",IF(AND(J54="",K54=""),"Sin evidencia",IF(N54&lt;&gt;"Validado","Sin validar","OK")))))))</f>
        <v/>
      </c>
    </row>
    <row r="55">
      <c r="A55" s="8" t="inlineStr">
        <is>
          <t>2023</t>
        </is>
      </c>
      <c r="B55" s="8" t="n"/>
      <c r="C55" s="8" t="inlineStr">
        <is>
          <t>ID23</t>
        </is>
      </c>
      <c r="D55" s="8" t="n">
        <v>115</v>
      </c>
      <c r="E55" s="8" t="n">
        <v>150</v>
      </c>
      <c r="F55" s="8" t="n"/>
      <c r="G55" s="8" t="n"/>
      <c r="H55" s="8" t="n"/>
      <c r="I55" s="8" t="inlineStr">
        <is>
          <t>EJEMPLO Encuesta o registro de la escuela, periodo 2023</t>
        </is>
      </c>
      <c r="J55" s="8" t="inlineStr">
        <is>
          <t>EV30</t>
        </is>
      </c>
      <c r="K55" s="8" t="inlineStr">
        <is>
          <t>EJEMPLO_ID23_2023.pdf</t>
        </is>
      </c>
      <c r="L55" s="8" t="inlineStr">
        <is>
          <t>EJEMPLO Coord. de calidad de Obstetricia</t>
        </is>
      </c>
      <c r="M55" s="9" t="n">
        <v>45308</v>
      </c>
      <c r="N55" s="8" t="inlineStr">
        <is>
          <t>Validado</t>
        </is>
      </c>
      <c r="O55" s="8" t="inlineStr">
        <is>
          <t>EJEMPLO Dirección de Escuela de Obstetricia</t>
        </is>
      </c>
      <c r="P55" s="9" t="n">
        <v>45311</v>
      </c>
      <c r="Q55" s="8" t="n">
        <v>1</v>
      </c>
      <c r="R55" s="8" t="n"/>
      <c r="S55" s="8" t="inlineStr">
        <is>
          <t>EJEMPLO</t>
        </is>
      </c>
      <c r="T55" s="8" t="n"/>
      <c r="U55" s="8" t="n"/>
      <c r="V55" s="11">
        <f>IF(C55="","",IFERROR(INDEX(Catalogo!$C$5:$C$129,MATCH(C55,Catalogo!$A$5:$A$129,0)),"Código no existe"))</f>
        <v/>
      </c>
      <c r="W55" s="11">
        <f>IF(C55="","",IFERROR(INDEX(Catalogo!$G$5:$G$129,MATCH(C55,Catalogo!$A$5:$A$129,0)),""))</f>
        <v/>
      </c>
      <c r="X55" s="12">
        <f>IF(C55="","",IF(ISNUMBER(F55),F55,IF(AND(ISNUMBER(D55),ISNUMBER(E55),E55&gt;0),D55/E55*IF(W55="%",100,1),IF(ISNUMBER(D55),D55,""))))</f>
        <v/>
      </c>
      <c r="Y55" s="11">
        <f>IF(C55="","",IF(A55="","Falta periodo",IF(COUNTIF(Listas!$A$2:$A$134,A55)=0,"Periodo no válido",IF(X55="","Falta valor",IF(I55="","Falta fuente: no se mostrará",IF(AND(J55="",K55=""),"Sin evidencia",IF(N55&lt;&gt;"Validado","Sin validar","OK")))))))</f>
        <v/>
      </c>
    </row>
    <row r="56">
      <c r="A56" s="8" t="inlineStr">
        <is>
          <t>2024</t>
        </is>
      </c>
      <c r="B56" s="8" t="n"/>
      <c r="C56" s="8" t="inlineStr">
        <is>
          <t>ID23</t>
        </is>
      </c>
      <c r="D56" s="8" t="n">
        <v>162</v>
      </c>
      <c r="E56" s="8" t="n">
        <v>210</v>
      </c>
      <c r="F56" s="8" t="n"/>
      <c r="G56" s="8" t="n"/>
      <c r="H56" s="8" t="n"/>
      <c r="I56" s="8" t="inlineStr">
        <is>
          <t>EJEMPLO Encuesta o registro de la escuela, periodo 2024</t>
        </is>
      </c>
      <c r="J56" s="8" t="inlineStr">
        <is>
          <t>EV43</t>
        </is>
      </c>
      <c r="K56" s="8" t="inlineStr">
        <is>
          <t>EJEMPLO_ID23_2024.pdf</t>
        </is>
      </c>
      <c r="L56" s="8" t="inlineStr">
        <is>
          <t>EJEMPLO Coord. de calidad de Obstetricia</t>
        </is>
      </c>
      <c r="M56" s="9" t="n">
        <v>45680</v>
      </c>
      <c r="N56" s="8" t="inlineStr">
        <is>
          <t>Validado</t>
        </is>
      </c>
      <c r="O56" s="8" t="inlineStr">
        <is>
          <t>EJEMPLO Dirección de Escuela de Obstetricia</t>
        </is>
      </c>
      <c r="P56" s="9" t="n">
        <v>45688</v>
      </c>
      <c r="Q56" s="8" t="n">
        <v>1</v>
      </c>
      <c r="R56" s="8" t="n"/>
      <c r="S56" s="8" t="inlineStr">
        <is>
          <t>EJEMPLO</t>
        </is>
      </c>
      <c r="T56" s="8" t="n"/>
      <c r="U56" s="8" t="n"/>
      <c r="V56" s="11">
        <f>IF(C56="","",IFERROR(INDEX(Catalogo!$C$5:$C$129,MATCH(C56,Catalogo!$A$5:$A$129,0)),"Código no existe"))</f>
        <v/>
      </c>
      <c r="W56" s="11">
        <f>IF(C56="","",IFERROR(INDEX(Catalogo!$G$5:$G$129,MATCH(C56,Catalogo!$A$5:$A$129,0)),""))</f>
        <v/>
      </c>
      <c r="X56" s="12">
        <f>IF(C56="","",IF(ISNUMBER(F56),F56,IF(AND(ISNUMBER(D56),ISNUMBER(E56),E56&gt;0),D56/E56*IF(W56="%",100,1),IF(ISNUMBER(D56),D56,""))))</f>
        <v/>
      </c>
      <c r="Y56" s="11">
        <f>IF(C56="","",IF(A56="","Falta periodo",IF(COUNTIF(Listas!$A$2:$A$134,A56)=0,"Periodo no válido",IF(X56="","Falta valor",IF(I56="","Falta fuente: no se mostrará",IF(AND(J56="",K56=""),"Sin evidencia",IF(N56&lt;&gt;"Validado","Sin validar","OK")))))))</f>
        <v/>
      </c>
    </row>
    <row r="57">
      <c r="A57" s="8" t="inlineStr">
        <is>
          <t>2025</t>
        </is>
      </c>
      <c r="B57" s="8" t="n"/>
      <c r="C57" s="8" t="inlineStr">
        <is>
          <t>ID23</t>
        </is>
      </c>
      <c r="D57" s="8" t="n">
        <v>47</v>
      </c>
      <c r="E57" s="8" t="n">
        <v>60</v>
      </c>
      <c r="F57" s="8" t="n"/>
      <c r="G57" s="8" t="n"/>
      <c r="H57" s="8" t="n"/>
      <c r="I57" s="8" t="inlineStr">
        <is>
          <t>EJEMPLO Encuesta o registro de la escuela, periodo 2025</t>
        </is>
      </c>
      <c r="J57" s="8" t="inlineStr">
        <is>
          <t>EV21</t>
        </is>
      </c>
      <c r="K57" s="8" t="inlineStr">
        <is>
          <t>EJEMPLO_ID23_2025.pdf</t>
        </is>
      </c>
      <c r="L57" s="8" t="inlineStr">
        <is>
          <t>EJEMPLO Coord. de calidad de Obstetricia</t>
        </is>
      </c>
      <c r="M57" s="9" t="n">
        <v>46030</v>
      </c>
      <c r="N57" s="8" t="inlineStr">
        <is>
          <t>Borrador</t>
        </is>
      </c>
      <c r="O57" s="8" t="n"/>
      <c r="P57" s="9" t="n"/>
      <c r="Q57" s="8" t="n">
        <v>1</v>
      </c>
      <c r="R57" s="8" t="n"/>
      <c r="S57" s="8" t="inlineStr">
        <is>
          <t>EJEMPLO</t>
        </is>
      </c>
      <c r="T57" s="8" t="n"/>
      <c r="U57" s="8" t="n"/>
      <c r="V57" s="11">
        <f>IF(C57="","",IFERROR(INDEX(Catalogo!$C$5:$C$129,MATCH(C57,Catalogo!$A$5:$A$129,0)),"Código no existe"))</f>
        <v/>
      </c>
      <c r="W57" s="11">
        <f>IF(C57="","",IFERROR(INDEX(Catalogo!$G$5:$G$129,MATCH(C57,Catalogo!$A$5:$A$129,0)),""))</f>
        <v/>
      </c>
      <c r="X57" s="12">
        <f>IF(C57="","",IF(ISNUMBER(F57),F57,IF(AND(ISNUMBER(D57),ISNUMBER(E57),E57&gt;0),D57/E57*IF(W57="%",100,1),IF(ISNUMBER(D57),D57,""))))</f>
        <v/>
      </c>
      <c r="Y57" s="11">
        <f>IF(C57="","",IF(A57="","Falta periodo",IF(COUNTIF(Listas!$A$2:$A$134,A57)=0,"Periodo no válido",IF(X57="","Falta valor",IF(I57="","Falta fuente: no se mostrará",IF(AND(J57="",K57=""),"Sin evidencia",IF(N57&lt;&gt;"Validado","Sin validar","OK")))))))</f>
        <v/>
      </c>
    </row>
    <row r="58">
      <c r="A58" s="8" t="inlineStr">
        <is>
          <t>2023</t>
        </is>
      </c>
      <c r="B58" s="8" t="n"/>
      <c r="C58" s="8" t="inlineStr">
        <is>
          <t>ID24</t>
        </is>
      </c>
      <c r="D58" s="8" t="n">
        <v>34</v>
      </c>
      <c r="E58" s="8" t="n">
        <v>48</v>
      </c>
      <c r="F58" s="8" t="n"/>
      <c r="G58" s="8" t="n"/>
      <c r="H58" s="8" t="n"/>
      <c r="I58" s="8" t="inlineStr">
        <is>
          <t>EJEMPLO Encuesta o registro de la escuela, periodo 2023</t>
        </is>
      </c>
      <c r="J58" s="8" t="inlineStr">
        <is>
          <t>EV30</t>
        </is>
      </c>
      <c r="K58" s="8" t="inlineStr">
        <is>
          <t>EJEMPLO_ID24_2023.pdf</t>
        </is>
      </c>
      <c r="L58" s="8" t="inlineStr">
        <is>
          <t>EJEMPLO Coord. de calidad de Obstetricia</t>
        </is>
      </c>
      <c r="M58" s="9" t="n">
        <v>45317</v>
      </c>
      <c r="N58" s="8" t="inlineStr">
        <is>
          <t>Validado</t>
        </is>
      </c>
      <c r="O58" s="8" t="inlineStr">
        <is>
          <t>EJEMPLO Dirección de Escuela de Obstetricia</t>
        </is>
      </c>
      <c r="P58" s="9" t="n">
        <v>45319</v>
      </c>
      <c r="Q58" s="8" t="n">
        <v>1</v>
      </c>
      <c r="R58" s="8" t="n"/>
      <c r="S58" s="8" t="inlineStr">
        <is>
          <t>EJEMPLO</t>
        </is>
      </c>
      <c r="T58" s="8" t="n"/>
      <c r="U58" s="8" t="n"/>
      <c r="V58" s="11">
        <f>IF(C58="","",IFERROR(INDEX(Catalogo!$C$5:$C$129,MATCH(C58,Catalogo!$A$5:$A$129,0)),"Código no existe"))</f>
        <v/>
      </c>
      <c r="W58" s="11">
        <f>IF(C58="","",IFERROR(INDEX(Catalogo!$G$5:$G$129,MATCH(C58,Catalogo!$A$5:$A$129,0)),""))</f>
        <v/>
      </c>
      <c r="X58" s="12">
        <f>IF(C58="","",IF(ISNUMBER(F58),F58,IF(AND(ISNUMBER(D58),ISNUMBER(E58),E58&gt;0),D58/E58*IF(W58="%",100,1),IF(ISNUMBER(D58),D58,""))))</f>
        <v/>
      </c>
      <c r="Y58" s="11">
        <f>IF(C58="","",IF(A58="","Falta periodo",IF(COUNTIF(Listas!$A$2:$A$134,A58)=0,"Periodo no válido",IF(X58="","Falta valor",IF(I58="","Falta fuente: no se mostrará",IF(AND(J58="",K58=""),"Sin evidencia",IF(N58&lt;&gt;"Validado","Sin validar","OK")))))))</f>
        <v/>
      </c>
    </row>
    <row r="59">
      <c r="A59" s="8" t="inlineStr">
        <is>
          <t>2024</t>
        </is>
      </c>
      <c r="B59" s="8" t="n"/>
      <c r="C59" s="8" t="inlineStr">
        <is>
          <t>ID24</t>
        </is>
      </c>
      <c r="D59" s="8" t="n">
        <v>62</v>
      </c>
      <c r="E59" s="8" t="n">
        <v>85</v>
      </c>
      <c r="F59" s="8" t="n"/>
      <c r="G59" s="8" t="n"/>
      <c r="H59" s="8" t="n"/>
      <c r="I59" s="8" t="inlineStr">
        <is>
          <t>EJEMPLO Encuesta o registro de la escuela, periodo 2024</t>
        </is>
      </c>
      <c r="J59" s="8" t="inlineStr">
        <is>
          <t>EV21</t>
        </is>
      </c>
      <c r="K59" s="8" t="inlineStr">
        <is>
          <t>EJEMPLO_ID24_2024.pdf</t>
        </is>
      </c>
      <c r="L59" s="8" t="inlineStr">
        <is>
          <t>EJEMPLO Coord. de calidad de Obstetricia</t>
        </is>
      </c>
      <c r="M59" s="9" t="n">
        <v>45674</v>
      </c>
      <c r="N59" s="8" t="inlineStr">
        <is>
          <t>Validado</t>
        </is>
      </c>
      <c r="O59" s="8" t="inlineStr">
        <is>
          <t>EJEMPLO Dirección de Escuela de Obstetricia</t>
        </is>
      </c>
      <c r="P59" s="9" t="n">
        <v>45678</v>
      </c>
      <c r="Q59" s="8" t="n">
        <v>1</v>
      </c>
      <c r="R59" s="8" t="n"/>
      <c r="S59" s="8" t="inlineStr">
        <is>
          <t>EJEMPLO</t>
        </is>
      </c>
      <c r="T59" s="8" t="n"/>
      <c r="U59" s="8" t="n"/>
      <c r="V59" s="11">
        <f>IF(C59="","",IFERROR(INDEX(Catalogo!$C$5:$C$129,MATCH(C59,Catalogo!$A$5:$A$129,0)),"Código no existe"))</f>
        <v/>
      </c>
      <c r="W59" s="11">
        <f>IF(C59="","",IFERROR(INDEX(Catalogo!$G$5:$G$129,MATCH(C59,Catalogo!$A$5:$A$129,0)),""))</f>
        <v/>
      </c>
      <c r="X59" s="12">
        <f>IF(C59="","",IF(ISNUMBER(F59),F59,IF(AND(ISNUMBER(D59),ISNUMBER(E59),E59&gt;0),D59/E59*IF(W59="%",100,1),IF(ISNUMBER(D59),D59,""))))</f>
        <v/>
      </c>
      <c r="Y59" s="11">
        <f>IF(C59="","",IF(A59="","Falta periodo",IF(COUNTIF(Listas!$A$2:$A$134,A59)=0,"Periodo no válido",IF(X59="","Falta valor",IF(I59="","Falta fuente: no se mostrará",IF(AND(J59="",K59=""),"Sin evidencia",IF(N59&lt;&gt;"Validado","Sin validar","OK")))))))</f>
        <v/>
      </c>
    </row>
    <row r="60">
      <c r="A60" s="8" t="inlineStr">
        <is>
          <t>2025</t>
        </is>
      </c>
      <c r="B60" s="8" t="n"/>
      <c r="C60" s="8" t="inlineStr">
        <is>
          <t>ID24</t>
        </is>
      </c>
      <c r="D60" s="8" t="n">
        <v>104</v>
      </c>
      <c r="E60" s="8" t="n">
        <v>150</v>
      </c>
      <c r="F60" s="8" t="n"/>
      <c r="G60" s="8" t="n"/>
      <c r="H60" s="8" t="n"/>
      <c r="I60" s="8" t="inlineStr">
        <is>
          <t>EJEMPLO Encuesta o registro de la escuela, periodo 2025</t>
        </is>
      </c>
      <c r="J60" s="8" t="inlineStr">
        <is>
          <t>EV38</t>
        </is>
      </c>
      <c r="K60" s="8" t="inlineStr">
        <is>
          <t>EJEMPLO_ID24_2025.pdf</t>
        </is>
      </c>
      <c r="L60" s="8" t="inlineStr">
        <is>
          <t>EJEMPLO Coord. de calidad de Obstetricia</t>
        </is>
      </c>
      <c r="M60" s="9" t="n">
        <v>46034</v>
      </c>
      <c r="N60" s="8" t="inlineStr">
        <is>
          <t>Validado</t>
        </is>
      </c>
      <c r="O60" s="8" t="inlineStr">
        <is>
          <t>EJEMPLO Dirección de Escuela de Obstetricia</t>
        </is>
      </c>
      <c r="P60" s="9" t="n">
        <v>46039</v>
      </c>
      <c r="Q60" s="8" t="n">
        <v>1</v>
      </c>
      <c r="R60" s="8" t="n"/>
      <c r="S60" s="8" t="inlineStr">
        <is>
          <t>EJEMPLO</t>
        </is>
      </c>
      <c r="T60" s="8" t="n"/>
      <c r="U60" s="8" t="n"/>
      <c r="V60" s="11">
        <f>IF(C60="","",IFERROR(INDEX(Catalogo!$C$5:$C$129,MATCH(C60,Catalogo!$A$5:$A$129,0)),"Código no existe"))</f>
        <v/>
      </c>
      <c r="W60" s="11">
        <f>IF(C60="","",IFERROR(INDEX(Catalogo!$G$5:$G$129,MATCH(C60,Catalogo!$A$5:$A$129,0)),""))</f>
        <v/>
      </c>
      <c r="X60" s="12">
        <f>IF(C60="","",IF(ISNUMBER(F60),F60,IF(AND(ISNUMBER(D60),ISNUMBER(E60),E60&gt;0),D60/E60*IF(W60="%",100,1),IF(ISNUMBER(D60),D60,""))))</f>
        <v/>
      </c>
      <c r="Y60" s="11">
        <f>IF(C60="","",IF(A60="","Falta periodo",IF(COUNTIF(Listas!$A$2:$A$134,A60)=0,"Periodo no válido",IF(X60="","Falta valor",IF(I60="","Falta fuente: no se mostrará",IF(AND(J60="",K60=""),"Sin evidencia",IF(N60&lt;&gt;"Validado","Sin validar","OK")))))))</f>
        <v/>
      </c>
    </row>
    <row r="61">
      <c r="A61" s="8" t="inlineStr">
        <is>
          <t>2023</t>
        </is>
      </c>
      <c r="B61" s="8" t="n"/>
      <c r="C61" s="8" t="inlineStr">
        <is>
          <t>ID25</t>
        </is>
      </c>
      <c r="D61" s="8" t="n"/>
      <c r="E61" s="8" t="n"/>
      <c r="F61" s="8" t="n">
        <v>2.99</v>
      </c>
      <c r="G61" s="8" t="n"/>
      <c r="H61" s="8" t="n"/>
      <c r="I61" s="8" t="inlineStr">
        <is>
          <t>EJEMPLO Encuesta o registro de la escuela, periodo 2023</t>
        </is>
      </c>
      <c r="J61" s="8" t="inlineStr">
        <is>
          <t>EV42</t>
        </is>
      </c>
      <c r="K61" s="8" t="inlineStr">
        <is>
          <t>EJEMPLO_ID25_2023.pdf</t>
        </is>
      </c>
      <c r="L61" s="8" t="inlineStr">
        <is>
          <t>EJEMPLO Coord. de calidad de Obstetricia</t>
        </is>
      </c>
      <c r="M61" s="9" t="n">
        <v>45307</v>
      </c>
      <c r="N61" s="8" t="inlineStr">
        <is>
          <t>Validado</t>
        </is>
      </c>
      <c r="O61" s="8" t="inlineStr">
        <is>
          <t>EJEMPLO Dirección de Escuela de Obstetricia</t>
        </is>
      </c>
      <c r="P61" s="9" t="n">
        <v>45308</v>
      </c>
      <c r="Q61" s="8" t="n">
        <v>1</v>
      </c>
      <c r="R61" s="8" t="n"/>
      <c r="S61" s="8" t="inlineStr">
        <is>
          <t>EJEMPLO</t>
        </is>
      </c>
      <c r="T61" s="8" t="n"/>
      <c r="U61" s="8" t="n"/>
      <c r="V61" s="11">
        <f>IF(C61="","",IFERROR(INDEX(Catalogo!$C$5:$C$129,MATCH(C61,Catalogo!$A$5:$A$129,0)),"Código no existe"))</f>
        <v/>
      </c>
      <c r="W61" s="11">
        <f>IF(C61="","",IFERROR(INDEX(Catalogo!$G$5:$G$129,MATCH(C61,Catalogo!$A$5:$A$129,0)),""))</f>
        <v/>
      </c>
      <c r="X61" s="12">
        <f>IF(C61="","",IF(ISNUMBER(F61),F61,IF(AND(ISNUMBER(D61),ISNUMBER(E61),E61&gt;0),D61/E61*IF(W61="%",100,1),IF(ISNUMBER(D61),D61,""))))</f>
        <v/>
      </c>
      <c r="Y61" s="11">
        <f>IF(C61="","",IF(A61="","Falta periodo",IF(COUNTIF(Listas!$A$2:$A$134,A61)=0,"Periodo no válido",IF(X61="","Falta valor",IF(I61="","Falta fuente: no se mostrará",IF(AND(J61="",K61=""),"Sin evidencia",IF(N61&lt;&gt;"Validado","Sin validar","OK")))))))</f>
        <v/>
      </c>
    </row>
    <row r="62">
      <c r="A62" s="8" t="inlineStr">
        <is>
          <t>2024</t>
        </is>
      </c>
      <c r="B62" s="8" t="n"/>
      <c r="C62" s="8" t="inlineStr">
        <is>
          <t>ID25</t>
        </is>
      </c>
      <c r="D62" s="8" t="n"/>
      <c r="E62" s="8" t="n"/>
      <c r="F62" s="8" t="n">
        <v>2.8</v>
      </c>
      <c r="G62" s="8" t="n"/>
      <c r="H62" s="8" t="n"/>
      <c r="I62" s="8" t="inlineStr">
        <is>
          <t>EJEMPLO Encuesta o registro de la escuela, periodo 2024</t>
        </is>
      </c>
      <c r="J62" s="8" t="inlineStr">
        <is>
          <t>EV42</t>
        </is>
      </c>
      <c r="K62" s="8" t="inlineStr">
        <is>
          <t>EJEMPLO_ID25_2024.pdf</t>
        </is>
      </c>
      <c r="L62" s="8" t="inlineStr">
        <is>
          <t>EJEMPLO Coord. de calidad de Obstetricia</t>
        </is>
      </c>
      <c r="M62" s="9" t="n">
        <v>45675</v>
      </c>
      <c r="N62" s="8" t="inlineStr">
        <is>
          <t>Borrador</t>
        </is>
      </c>
      <c r="O62" s="8" t="n"/>
      <c r="P62" s="9" t="n"/>
      <c r="Q62" s="8" t="n">
        <v>1</v>
      </c>
      <c r="R62" s="8" t="n"/>
      <c r="S62" s="8" t="inlineStr">
        <is>
          <t>EJEMPLO</t>
        </is>
      </c>
      <c r="T62" s="8" t="n"/>
      <c r="U62" s="8" t="n"/>
      <c r="V62" s="11">
        <f>IF(C62="","",IFERROR(INDEX(Catalogo!$C$5:$C$129,MATCH(C62,Catalogo!$A$5:$A$129,0)),"Código no existe"))</f>
        <v/>
      </c>
      <c r="W62" s="11">
        <f>IF(C62="","",IFERROR(INDEX(Catalogo!$G$5:$G$129,MATCH(C62,Catalogo!$A$5:$A$129,0)),""))</f>
        <v/>
      </c>
      <c r="X62" s="12">
        <f>IF(C62="","",IF(ISNUMBER(F62),F62,IF(AND(ISNUMBER(D62),ISNUMBER(E62),E62&gt;0),D62/E62*IF(W62="%",100,1),IF(ISNUMBER(D62),D62,""))))</f>
        <v/>
      </c>
      <c r="Y62" s="11">
        <f>IF(C62="","",IF(A62="","Falta periodo",IF(COUNTIF(Listas!$A$2:$A$134,A62)=0,"Periodo no válido",IF(X62="","Falta valor",IF(I62="","Falta fuente: no se mostrará",IF(AND(J62="",K62=""),"Sin evidencia",IF(N62&lt;&gt;"Validado","Sin validar","OK")))))))</f>
        <v/>
      </c>
    </row>
    <row r="63">
      <c r="A63" s="8" t="inlineStr">
        <is>
          <t>2025</t>
        </is>
      </c>
      <c r="B63" s="8" t="n"/>
      <c r="C63" s="8" t="inlineStr">
        <is>
          <t>ID25</t>
        </is>
      </c>
      <c r="D63" s="8" t="n"/>
      <c r="E63" s="8" t="n"/>
      <c r="F63" s="8" t="n">
        <v>2.89</v>
      </c>
      <c r="G63" s="8" t="n"/>
      <c r="H63" s="8" t="n"/>
      <c r="I63" s="8" t="inlineStr">
        <is>
          <t>EJEMPLO Encuesta o registro de la escuela, periodo 2025</t>
        </is>
      </c>
      <c r="J63" s="8" t="inlineStr">
        <is>
          <t>EV30</t>
        </is>
      </c>
      <c r="K63" s="8" t="inlineStr">
        <is>
          <t>EJEMPLO_ID25_2025.pdf</t>
        </is>
      </c>
      <c r="L63" s="8" t="inlineStr">
        <is>
          <t>EJEMPLO Coord. de calidad de Obstetricia</t>
        </is>
      </c>
      <c r="M63" s="9" t="n">
        <v>46043</v>
      </c>
      <c r="N63" s="8" t="inlineStr">
        <is>
          <t>Validado</t>
        </is>
      </c>
      <c r="O63" s="8" t="inlineStr">
        <is>
          <t>EJEMPLO Dirección de Escuela de Obstetricia</t>
        </is>
      </c>
      <c r="P63" s="9" t="n">
        <v>46047</v>
      </c>
      <c r="Q63" s="8" t="n">
        <v>1</v>
      </c>
      <c r="R63" s="8" t="n"/>
      <c r="S63" s="8" t="inlineStr">
        <is>
          <t>EJEMPLO</t>
        </is>
      </c>
      <c r="T63" s="8" t="n"/>
      <c r="U63" s="8" t="n"/>
      <c r="V63" s="11">
        <f>IF(C63="","",IFERROR(INDEX(Catalogo!$C$5:$C$129,MATCH(C63,Catalogo!$A$5:$A$129,0)),"Código no existe"))</f>
        <v/>
      </c>
      <c r="W63" s="11">
        <f>IF(C63="","",IFERROR(INDEX(Catalogo!$G$5:$G$129,MATCH(C63,Catalogo!$A$5:$A$129,0)),""))</f>
        <v/>
      </c>
      <c r="X63" s="12">
        <f>IF(C63="","",IF(ISNUMBER(F63),F63,IF(AND(ISNUMBER(D63),ISNUMBER(E63),E63&gt;0),D63/E63*IF(W63="%",100,1),IF(ISNUMBER(D63),D63,""))))</f>
        <v/>
      </c>
      <c r="Y63" s="11">
        <f>IF(C63="","",IF(A63="","Falta periodo",IF(COUNTIF(Listas!$A$2:$A$134,A63)=0,"Periodo no válido",IF(X63="","Falta valor",IF(I63="","Falta fuente: no se mostrará",IF(AND(J63="",K63=""),"Sin evidencia",IF(N63&lt;&gt;"Validado","Sin validar","OK")))))))</f>
        <v/>
      </c>
    </row>
    <row r="64">
      <c r="A64" s="8" t="inlineStr">
        <is>
          <t>2023</t>
        </is>
      </c>
      <c r="B64" s="8" t="n"/>
      <c r="C64" s="8" t="inlineStr">
        <is>
          <t>ID26</t>
        </is>
      </c>
      <c r="D64" s="8" t="n"/>
      <c r="E64" s="8" t="n"/>
      <c r="F64" s="8" t="n">
        <v>1.11</v>
      </c>
      <c r="G64" s="8" t="n"/>
      <c r="H64" s="8" t="n"/>
      <c r="I64" s="8" t="inlineStr">
        <is>
          <t>EJEMPLO Encuesta o registro de la escuela, periodo 2023</t>
        </is>
      </c>
      <c r="J64" s="8" t="n"/>
      <c r="K64" s="8" t="n"/>
      <c r="L64" s="8" t="inlineStr">
        <is>
          <t>EJEMPLO Coord. de calidad de Obstetricia</t>
        </is>
      </c>
      <c r="M64" s="9" t="n">
        <v>45307</v>
      </c>
      <c r="N64" s="8" t="inlineStr">
        <is>
          <t>Validado</t>
        </is>
      </c>
      <c r="O64" s="8" t="inlineStr">
        <is>
          <t>EJEMPLO Dirección de Escuela de Obstetricia</t>
        </is>
      </c>
      <c r="P64" s="9" t="n">
        <v>45309</v>
      </c>
      <c r="Q64" s="8" t="n">
        <v>1</v>
      </c>
      <c r="R64" s="8" t="n"/>
      <c r="S64" s="8" t="inlineStr">
        <is>
          <t>EJEMPLO</t>
        </is>
      </c>
      <c r="T64" s="8" t="n"/>
      <c r="U64" s="8" t="n"/>
      <c r="V64" s="11">
        <f>IF(C64="","",IFERROR(INDEX(Catalogo!$C$5:$C$129,MATCH(C64,Catalogo!$A$5:$A$129,0)),"Código no existe"))</f>
        <v/>
      </c>
      <c r="W64" s="11">
        <f>IF(C64="","",IFERROR(INDEX(Catalogo!$G$5:$G$129,MATCH(C64,Catalogo!$A$5:$A$129,0)),""))</f>
        <v/>
      </c>
      <c r="X64" s="12">
        <f>IF(C64="","",IF(ISNUMBER(F64),F64,IF(AND(ISNUMBER(D64),ISNUMBER(E64),E64&gt;0),D64/E64*IF(W64="%",100,1),IF(ISNUMBER(D64),D64,""))))</f>
        <v/>
      </c>
      <c r="Y64" s="11">
        <f>IF(C64="","",IF(A64="","Falta periodo",IF(COUNTIF(Listas!$A$2:$A$134,A64)=0,"Periodo no válido",IF(X64="","Falta valor",IF(I64="","Falta fuente: no se mostrará",IF(AND(J64="",K64=""),"Sin evidencia",IF(N64&lt;&gt;"Validado","Sin validar","OK")))))))</f>
        <v/>
      </c>
    </row>
    <row r="65">
      <c r="A65" s="8" t="inlineStr">
        <is>
          <t>2024</t>
        </is>
      </c>
      <c r="B65" s="8" t="n"/>
      <c r="C65" s="8" t="inlineStr">
        <is>
          <t>ID26</t>
        </is>
      </c>
      <c r="D65" s="8" t="n"/>
      <c r="E65" s="8" t="n"/>
      <c r="F65" s="8" t="n">
        <v>1.02</v>
      </c>
      <c r="G65" s="8" t="n"/>
      <c r="H65" s="8" t="n"/>
      <c r="I65" s="8" t="inlineStr">
        <is>
          <t>EJEMPLO Encuesta o registro de la escuela, periodo 2024</t>
        </is>
      </c>
      <c r="J65" s="8" t="inlineStr">
        <is>
          <t>EV43</t>
        </is>
      </c>
      <c r="K65" s="8" t="inlineStr">
        <is>
          <t>EJEMPLO_ID26_2024.pdf</t>
        </is>
      </c>
      <c r="L65" s="8" t="inlineStr">
        <is>
          <t>EJEMPLO Coord. de calidad de Obstetricia</t>
        </is>
      </c>
      <c r="M65" s="9" t="n">
        <v>45672</v>
      </c>
      <c r="N65" s="8" t="inlineStr">
        <is>
          <t>Validado</t>
        </is>
      </c>
      <c r="O65" s="8" t="inlineStr">
        <is>
          <t>EJEMPLO Dirección de Escuela de Obstetricia</t>
        </is>
      </c>
      <c r="P65" s="9" t="n">
        <v>45677</v>
      </c>
      <c r="Q65" s="8" t="n">
        <v>1</v>
      </c>
      <c r="R65" s="8" t="n"/>
      <c r="S65" s="8" t="inlineStr">
        <is>
          <t>EJEMPLO</t>
        </is>
      </c>
      <c r="T65" s="8" t="n"/>
      <c r="U65" s="8" t="n"/>
      <c r="V65" s="11">
        <f>IF(C65="","",IFERROR(INDEX(Catalogo!$C$5:$C$129,MATCH(C65,Catalogo!$A$5:$A$129,0)),"Código no existe"))</f>
        <v/>
      </c>
      <c r="W65" s="11">
        <f>IF(C65="","",IFERROR(INDEX(Catalogo!$G$5:$G$129,MATCH(C65,Catalogo!$A$5:$A$129,0)),""))</f>
        <v/>
      </c>
      <c r="X65" s="12">
        <f>IF(C65="","",IF(ISNUMBER(F65),F65,IF(AND(ISNUMBER(D65),ISNUMBER(E65),E65&gt;0),D65/E65*IF(W65="%",100,1),IF(ISNUMBER(D65),D65,""))))</f>
        <v/>
      </c>
      <c r="Y65" s="11">
        <f>IF(C65="","",IF(A65="","Falta periodo",IF(COUNTIF(Listas!$A$2:$A$134,A65)=0,"Periodo no válido",IF(X65="","Falta valor",IF(I65="","Falta fuente: no se mostrará",IF(AND(J65="",K65=""),"Sin evidencia",IF(N65&lt;&gt;"Validado","Sin validar","OK")))))))</f>
        <v/>
      </c>
    </row>
    <row r="66">
      <c r="A66" s="8" t="inlineStr">
        <is>
          <t>2025</t>
        </is>
      </c>
      <c r="B66" s="8" t="n"/>
      <c r="C66" s="8" t="inlineStr">
        <is>
          <t>ID26</t>
        </is>
      </c>
      <c r="D66" s="8" t="n"/>
      <c r="E66" s="8" t="n"/>
      <c r="F66" s="8" t="n">
        <v>1</v>
      </c>
      <c r="G66" s="8" t="n"/>
      <c r="H66" s="8" t="n"/>
      <c r="I66" s="8" t="inlineStr">
        <is>
          <t>EJEMPLO Encuesta o registro de la escuela, periodo 2025</t>
        </is>
      </c>
      <c r="J66" s="8" t="inlineStr">
        <is>
          <t>EV42</t>
        </is>
      </c>
      <c r="K66" s="8" t="inlineStr">
        <is>
          <t>EJEMPLO_ID26_2025.pdf</t>
        </is>
      </c>
      <c r="L66" s="8" t="inlineStr">
        <is>
          <t>EJEMPLO Coord. de calidad de Obstetricia</t>
        </is>
      </c>
      <c r="M66" s="9" t="n">
        <v>46038</v>
      </c>
      <c r="N66" s="8" t="inlineStr">
        <is>
          <t>Validado</t>
        </is>
      </c>
      <c r="O66" s="8" t="inlineStr">
        <is>
          <t>EJEMPLO Dirección de Escuela de Obstetricia</t>
        </is>
      </c>
      <c r="P66" s="9" t="n">
        <v>46044</v>
      </c>
      <c r="Q66" s="8" t="n">
        <v>1</v>
      </c>
      <c r="R66" s="8" t="n"/>
      <c r="S66" s="8" t="inlineStr">
        <is>
          <t>EJEMPLO</t>
        </is>
      </c>
      <c r="T66" s="8" t="n"/>
      <c r="U66" s="8" t="n"/>
      <c r="V66" s="11">
        <f>IF(C66="","",IFERROR(INDEX(Catalogo!$C$5:$C$129,MATCH(C66,Catalogo!$A$5:$A$129,0)),"Código no existe"))</f>
        <v/>
      </c>
      <c r="W66" s="11">
        <f>IF(C66="","",IFERROR(INDEX(Catalogo!$G$5:$G$129,MATCH(C66,Catalogo!$A$5:$A$129,0)),""))</f>
        <v/>
      </c>
      <c r="X66" s="12">
        <f>IF(C66="","",IF(ISNUMBER(F66),F66,IF(AND(ISNUMBER(D66),ISNUMBER(E66),E66&gt;0),D66/E66*IF(W66="%",100,1),IF(ISNUMBER(D66),D66,""))))</f>
        <v/>
      </c>
      <c r="Y66" s="11">
        <f>IF(C66="","",IF(A66="","Falta periodo",IF(COUNTIF(Listas!$A$2:$A$134,A66)=0,"Periodo no válido",IF(X66="","Falta valor",IF(I66="","Falta fuente: no se mostrará",IF(AND(J66="",K66=""),"Sin evidencia",IF(N66&lt;&gt;"Validado","Sin validar","OK")))))))</f>
        <v/>
      </c>
    </row>
    <row r="67">
      <c r="A67" s="8" t="inlineStr">
        <is>
          <t>2023</t>
        </is>
      </c>
      <c r="B67" s="8" t="n"/>
      <c r="C67" s="8" t="inlineStr">
        <is>
          <t>ID28</t>
        </is>
      </c>
      <c r="D67" s="8" t="n">
        <v>51</v>
      </c>
      <c r="E67" s="8" t="n">
        <v>85</v>
      </c>
      <c r="F67" s="8" t="n"/>
      <c r="G67" s="8" t="n"/>
      <c r="H67" s="8" t="n"/>
      <c r="I67" s="8" t="inlineStr">
        <is>
          <t>EJEMPLO Encuesta o registro de la escuela, periodo 2023</t>
        </is>
      </c>
      <c r="J67" s="8" t="n"/>
      <c r="K67" s="8" t="n"/>
      <c r="L67" s="8" t="inlineStr">
        <is>
          <t>EJEMPLO Coord. de calidad de Obstetricia</t>
        </is>
      </c>
      <c r="M67" s="9" t="n">
        <v>45310</v>
      </c>
      <c r="N67" s="8" t="inlineStr">
        <is>
          <t>Validado</t>
        </is>
      </c>
      <c r="O67" s="8" t="inlineStr">
        <is>
          <t>EJEMPLO Dirección de Escuela de Obstetricia</t>
        </is>
      </c>
      <c r="P67" s="9" t="n">
        <v>45314</v>
      </c>
      <c r="Q67" s="8" t="n">
        <v>1</v>
      </c>
      <c r="R67" s="8" t="n"/>
      <c r="S67" s="8" t="inlineStr">
        <is>
          <t>EJEMPLO</t>
        </is>
      </c>
      <c r="T67" s="8" t="n"/>
      <c r="U67" s="8" t="n"/>
      <c r="V67" s="11">
        <f>IF(C67="","",IFERROR(INDEX(Catalogo!$C$5:$C$129,MATCH(C67,Catalogo!$A$5:$A$129,0)),"Código no existe"))</f>
        <v/>
      </c>
      <c r="W67" s="11">
        <f>IF(C67="","",IFERROR(INDEX(Catalogo!$G$5:$G$129,MATCH(C67,Catalogo!$A$5:$A$129,0)),""))</f>
        <v/>
      </c>
      <c r="X67" s="12">
        <f>IF(C67="","",IF(ISNUMBER(F67),F67,IF(AND(ISNUMBER(D67),ISNUMBER(E67),E67&gt;0),D67/E67*IF(W67="%",100,1),IF(ISNUMBER(D67),D67,""))))</f>
        <v/>
      </c>
      <c r="Y67" s="11">
        <f>IF(C67="","",IF(A67="","Falta periodo",IF(COUNTIF(Listas!$A$2:$A$134,A67)=0,"Periodo no válido",IF(X67="","Falta valor",IF(I67="","Falta fuente: no se mostrará",IF(AND(J67="",K67=""),"Sin evidencia",IF(N67&lt;&gt;"Validado","Sin validar","OK")))))))</f>
        <v/>
      </c>
    </row>
    <row r="68">
      <c r="A68" s="8" t="inlineStr">
        <is>
          <t>2024</t>
        </is>
      </c>
      <c r="B68" s="8" t="n"/>
      <c r="C68" s="8" t="inlineStr">
        <is>
          <t>ID28</t>
        </is>
      </c>
      <c r="D68" s="8" t="n">
        <v>132</v>
      </c>
      <c r="E68" s="8" t="n">
        <v>210</v>
      </c>
      <c r="F68" s="8" t="n"/>
      <c r="G68" s="8" t="n"/>
      <c r="H68" s="8" t="n"/>
      <c r="I68" s="8" t="inlineStr">
        <is>
          <t>EJEMPLO Encuesta o registro de la escuela, periodo 2024</t>
        </is>
      </c>
      <c r="J68" s="8" t="inlineStr">
        <is>
          <t>EV43</t>
        </is>
      </c>
      <c r="K68" s="8" t="inlineStr">
        <is>
          <t>EJEMPLO_ID28_2024.pdf</t>
        </is>
      </c>
      <c r="L68" s="8" t="inlineStr">
        <is>
          <t>EJEMPLO Coord. de calidad de Obstetricia</t>
        </is>
      </c>
      <c r="M68" s="9" t="n">
        <v>45664</v>
      </c>
      <c r="N68" s="8" t="inlineStr">
        <is>
          <t>Validado</t>
        </is>
      </c>
      <c r="O68" s="8" t="inlineStr">
        <is>
          <t>EJEMPLO Dirección de Escuela de Obstetricia</t>
        </is>
      </c>
      <c r="P68" s="9" t="n">
        <v>45667</v>
      </c>
      <c r="Q68" s="8" t="n">
        <v>1</v>
      </c>
      <c r="R68" s="8" t="n"/>
      <c r="S68" s="8" t="inlineStr">
        <is>
          <t>EJEMPLO</t>
        </is>
      </c>
      <c r="T68" s="8" t="n"/>
      <c r="U68" s="8" t="n"/>
      <c r="V68" s="11">
        <f>IF(C68="","",IFERROR(INDEX(Catalogo!$C$5:$C$129,MATCH(C68,Catalogo!$A$5:$A$129,0)),"Código no existe"))</f>
        <v/>
      </c>
      <c r="W68" s="11">
        <f>IF(C68="","",IFERROR(INDEX(Catalogo!$G$5:$G$129,MATCH(C68,Catalogo!$A$5:$A$129,0)),""))</f>
        <v/>
      </c>
      <c r="X68" s="12">
        <f>IF(C68="","",IF(ISNUMBER(F68),F68,IF(AND(ISNUMBER(D68),ISNUMBER(E68),E68&gt;0),D68/E68*IF(W68="%",100,1),IF(ISNUMBER(D68),D68,""))))</f>
        <v/>
      </c>
      <c r="Y68" s="11">
        <f>IF(C68="","",IF(A68="","Falta periodo",IF(COUNTIF(Listas!$A$2:$A$134,A68)=0,"Periodo no válido",IF(X68="","Falta valor",IF(I68="","Falta fuente: no se mostrará",IF(AND(J68="",K68=""),"Sin evidencia",IF(N68&lt;&gt;"Validado","Sin validar","OK")))))))</f>
        <v/>
      </c>
    </row>
    <row r="69">
      <c r="A69" s="8" t="inlineStr">
        <is>
          <t>2024</t>
        </is>
      </c>
      <c r="B69" s="8" t="n"/>
      <c r="C69" s="8" t="inlineStr">
        <is>
          <t>ID29</t>
        </is>
      </c>
      <c r="D69" s="8" t="n">
        <v>25</v>
      </c>
      <c r="E69" s="8" t="n">
        <v>48</v>
      </c>
      <c r="F69" s="8" t="n"/>
      <c r="G69" s="8" t="n"/>
      <c r="H69" s="8" t="n"/>
      <c r="I69" s="8" t="inlineStr">
        <is>
          <t>EJEMPLO Encuesta o registro de la escuela, periodo 2024</t>
        </is>
      </c>
      <c r="J69" s="8" t="inlineStr">
        <is>
          <t>EV41</t>
        </is>
      </c>
      <c r="K69" s="8" t="inlineStr">
        <is>
          <t>EJEMPLO_ID29_2024.pdf</t>
        </is>
      </c>
      <c r="L69" s="8" t="inlineStr">
        <is>
          <t>EJEMPLO Coord. de calidad de Obstetricia</t>
        </is>
      </c>
      <c r="M69" s="9" t="n">
        <v>45668</v>
      </c>
      <c r="N69" s="8" t="inlineStr">
        <is>
          <t>Validado</t>
        </is>
      </c>
      <c r="O69" s="8" t="inlineStr">
        <is>
          <t>EJEMPLO Dirección de Escuela de Obstetricia</t>
        </is>
      </c>
      <c r="P69" s="9" t="n">
        <v>45676</v>
      </c>
      <c r="Q69" s="8" t="n">
        <v>1</v>
      </c>
      <c r="R69" s="8" t="n"/>
      <c r="S69" s="8" t="inlineStr">
        <is>
          <t>EJEMPLO</t>
        </is>
      </c>
      <c r="T69" s="8" t="n"/>
      <c r="U69" s="8" t="n"/>
      <c r="V69" s="11">
        <f>IF(C69="","",IFERROR(INDEX(Catalogo!$C$5:$C$129,MATCH(C69,Catalogo!$A$5:$A$129,0)),"Código no existe"))</f>
        <v/>
      </c>
      <c r="W69" s="11">
        <f>IF(C69="","",IFERROR(INDEX(Catalogo!$G$5:$G$129,MATCH(C69,Catalogo!$A$5:$A$129,0)),""))</f>
        <v/>
      </c>
      <c r="X69" s="12">
        <f>IF(C69="","",IF(ISNUMBER(F69),F69,IF(AND(ISNUMBER(D69),ISNUMBER(E69),E69&gt;0),D69/E69*IF(W69="%",100,1),IF(ISNUMBER(D69),D69,""))))</f>
        <v/>
      </c>
      <c r="Y69" s="11">
        <f>IF(C69="","",IF(A69="","Falta periodo",IF(COUNTIF(Listas!$A$2:$A$134,A69)=0,"Periodo no válido",IF(X69="","Falta valor",IF(I69="","Falta fuente: no se mostrará",IF(AND(J69="",K69=""),"Sin evidencia",IF(N69&lt;&gt;"Validado","Sin validar","OK")))))))</f>
        <v/>
      </c>
    </row>
    <row r="70">
      <c r="A70" s="8" t="inlineStr">
        <is>
          <t>2025</t>
        </is>
      </c>
      <c r="B70" s="8" t="n"/>
      <c r="C70" s="8" t="inlineStr">
        <is>
          <t>ID29</t>
        </is>
      </c>
      <c r="D70" s="8" t="n">
        <v>102</v>
      </c>
      <c r="E70" s="8" t="n">
        <v>210</v>
      </c>
      <c r="F70" s="8" t="n"/>
      <c r="G70" s="8" t="n"/>
      <c r="H70" s="8" t="n"/>
      <c r="I70" s="8" t="inlineStr">
        <is>
          <t>EJEMPLO Encuesta o registro de la escuela, periodo 2025</t>
        </is>
      </c>
      <c r="J70" s="8" t="inlineStr">
        <is>
          <t>EV44</t>
        </is>
      </c>
      <c r="K70" s="8" t="inlineStr">
        <is>
          <t>EJEMPLO_ID29_2025.pdf</t>
        </is>
      </c>
      <c r="L70" s="8" t="inlineStr">
        <is>
          <t>EJEMPLO Coord. de calidad de Obstetricia</t>
        </is>
      </c>
      <c r="M70" s="9" t="n">
        <v>46046</v>
      </c>
      <c r="N70" s="8" t="inlineStr">
        <is>
          <t>Validado</t>
        </is>
      </c>
      <c r="O70" s="8" t="inlineStr">
        <is>
          <t>EJEMPLO Dirección de Escuela de Obstetricia</t>
        </is>
      </c>
      <c r="P70" s="9" t="n">
        <v>46052</v>
      </c>
      <c r="Q70" s="8" t="n">
        <v>1</v>
      </c>
      <c r="R70" s="8" t="n"/>
      <c r="S70" s="8" t="inlineStr">
        <is>
          <t>EJEMPLO</t>
        </is>
      </c>
      <c r="T70" s="8" t="n"/>
      <c r="U70" s="8" t="n"/>
      <c r="V70" s="11">
        <f>IF(C70="","",IFERROR(INDEX(Catalogo!$C$5:$C$129,MATCH(C70,Catalogo!$A$5:$A$129,0)),"Código no existe"))</f>
        <v/>
      </c>
      <c r="W70" s="11">
        <f>IF(C70="","",IFERROR(INDEX(Catalogo!$G$5:$G$129,MATCH(C70,Catalogo!$A$5:$A$129,0)),""))</f>
        <v/>
      </c>
      <c r="X70" s="12">
        <f>IF(C70="","",IF(ISNUMBER(F70),F70,IF(AND(ISNUMBER(D70),ISNUMBER(E70),E70&gt;0),D70/E70*IF(W70="%",100,1),IF(ISNUMBER(D70),D70,""))))</f>
        <v/>
      </c>
      <c r="Y70" s="11">
        <f>IF(C70="","",IF(A70="","Falta periodo",IF(COUNTIF(Listas!$A$2:$A$134,A70)=0,"Periodo no válido",IF(X70="","Falta valor",IF(I70="","Falta fuente: no se mostrará",IF(AND(J70="",K70=""),"Sin evidencia",IF(N70&lt;&gt;"Validado","Sin validar","OK")))))))</f>
        <v/>
      </c>
    </row>
    <row r="71">
      <c r="A71" s="8" t="inlineStr">
        <is>
          <t>2023</t>
        </is>
      </c>
      <c r="B71" s="8" t="n"/>
      <c r="C71" s="8" t="inlineStr">
        <is>
          <t>ME04-I2</t>
        </is>
      </c>
      <c r="D71" s="8" t="n"/>
      <c r="E71" s="8" t="n"/>
      <c r="F71" s="8" t="n">
        <v>67.44</v>
      </c>
      <c r="G71" s="8" t="n"/>
      <c r="H71" s="8" t="n"/>
      <c r="I71" s="8" t="inlineStr">
        <is>
          <t>EJEMPLO Registro del proceso ME04, periodo 2023</t>
        </is>
      </c>
      <c r="J71" s="8" t="inlineStr">
        <is>
          <t>EV42</t>
        </is>
      </c>
      <c r="K71" s="8" t="inlineStr">
        <is>
          <t>EJEMPLO_ME04-I2_2023.pdf</t>
        </is>
      </c>
      <c r="L71" s="8" t="inlineStr">
        <is>
          <t>EJEMPLO Coord. de calidad de Obstetricia</t>
        </is>
      </c>
      <c r="M71" s="9" t="n">
        <v>45311</v>
      </c>
      <c r="N71" s="8" t="inlineStr">
        <is>
          <t>Validado</t>
        </is>
      </c>
      <c r="O71" s="8" t="inlineStr">
        <is>
          <t>EJEMPLO Dirección de Escuela de Obstetricia</t>
        </is>
      </c>
      <c r="P71" s="9" t="n">
        <v>45317</v>
      </c>
      <c r="Q71" s="8" t="n">
        <v>1</v>
      </c>
      <c r="R71" s="8" t="n"/>
      <c r="S71" s="8" t="inlineStr">
        <is>
          <t>EJEMPLO</t>
        </is>
      </c>
      <c r="T71" s="8" t="n"/>
      <c r="U71" s="8" t="n"/>
      <c r="V71" s="11">
        <f>IF(C71="","",IFERROR(INDEX(Catalogo!$C$5:$C$129,MATCH(C71,Catalogo!$A$5:$A$129,0)),"Código no existe"))</f>
        <v/>
      </c>
      <c r="W71" s="11">
        <f>IF(C71="","",IFERROR(INDEX(Catalogo!$G$5:$G$129,MATCH(C71,Catalogo!$A$5:$A$129,0)),""))</f>
        <v/>
      </c>
      <c r="X71" s="12">
        <f>IF(C71="","",IF(ISNUMBER(F71),F71,IF(AND(ISNUMBER(D71),ISNUMBER(E71),E71&gt;0),D71/E71*IF(W71="%",100,1),IF(ISNUMBER(D71),D71,""))))</f>
        <v/>
      </c>
      <c r="Y71" s="11">
        <f>IF(C71="","",IF(A71="","Falta periodo",IF(COUNTIF(Listas!$A$2:$A$134,A71)=0,"Periodo no válido",IF(X71="","Falta valor",IF(I71="","Falta fuente: no se mostrará",IF(AND(J71="",K71=""),"Sin evidencia",IF(N71&lt;&gt;"Validado","Sin validar","OK")))))))</f>
        <v/>
      </c>
    </row>
    <row r="72">
      <c r="A72" s="8" t="inlineStr">
        <is>
          <t>2024</t>
        </is>
      </c>
      <c r="B72" s="8" t="n"/>
      <c r="C72" s="8" t="inlineStr">
        <is>
          <t>ME04-I2</t>
        </is>
      </c>
      <c r="D72" s="8" t="n"/>
      <c r="E72" s="8" t="n"/>
      <c r="F72" s="8" t="n">
        <v>50.89</v>
      </c>
      <c r="G72" s="8" t="n"/>
      <c r="H72" s="8" t="n"/>
      <c r="I72" s="8" t="inlineStr">
        <is>
          <t>EJEMPLO Registro del proceso ME04, periodo 2024</t>
        </is>
      </c>
      <c r="J72" s="8" t="n"/>
      <c r="K72" s="8" t="n"/>
      <c r="L72" s="8" t="inlineStr">
        <is>
          <t>EJEMPLO Coord. de calidad de Obstetricia</t>
        </is>
      </c>
      <c r="M72" s="9" t="n">
        <v>45674</v>
      </c>
      <c r="N72" s="8" t="inlineStr">
        <is>
          <t>Observado</t>
        </is>
      </c>
      <c r="O72" s="8" t="n"/>
      <c r="P72" s="9" t="n"/>
      <c r="Q72" s="8" t="n">
        <v>1</v>
      </c>
      <c r="R72" s="8" t="n"/>
      <c r="S72" s="8" t="inlineStr">
        <is>
          <t>EJEMPLO</t>
        </is>
      </c>
      <c r="T72" s="8" t="n"/>
      <c r="U72" s="8" t="n"/>
      <c r="V72" s="11">
        <f>IF(C72="","",IFERROR(INDEX(Catalogo!$C$5:$C$129,MATCH(C72,Catalogo!$A$5:$A$129,0)),"Código no existe"))</f>
        <v/>
      </c>
      <c r="W72" s="11">
        <f>IF(C72="","",IFERROR(INDEX(Catalogo!$G$5:$G$129,MATCH(C72,Catalogo!$A$5:$A$129,0)),""))</f>
        <v/>
      </c>
      <c r="X72" s="12">
        <f>IF(C72="","",IF(ISNUMBER(F72),F72,IF(AND(ISNUMBER(D72),ISNUMBER(E72),E72&gt;0),D72/E72*IF(W72="%",100,1),IF(ISNUMBER(D72),D72,""))))</f>
        <v/>
      </c>
      <c r="Y72" s="11">
        <f>IF(C72="","",IF(A72="","Falta periodo",IF(COUNTIF(Listas!$A$2:$A$134,A72)=0,"Periodo no válido",IF(X72="","Falta valor",IF(I72="","Falta fuente: no se mostrará",IF(AND(J72="",K72=""),"Sin evidencia",IF(N72&lt;&gt;"Validado","Sin validar","OK")))))))</f>
        <v/>
      </c>
    </row>
    <row r="73">
      <c r="A73" s="8" t="inlineStr">
        <is>
          <t>2025</t>
        </is>
      </c>
      <c r="B73" s="8" t="n"/>
      <c r="C73" s="8" t="inlineStr">
        <is>
          <t>ME04-I2</t>
        </is>
      </c>
      <c r="D73" s="8" t="n"/>
      <c r="E73" s="8" t="n"/>
      <c r="F73" s="8" t="n">
        <v>72.45</v>
      </c>
      <c r="G73" s="8" t="n"/>
      <c r="H73" s="8" t="n"/>
      <c r="I73" s="8" t="inlineStr">
        <is>
          <t>EJEMPLO Registro del proceso ME04, periodo 2025</t>
        </is>
      </c>
      <c r="J73" s="8" t="inlineStr">
        <is>
          <t>EV21</t>
        </is>
      </c>
      <c r="K73" s="8" t="inlineStr">
        <is>
          <t>EJEMPLO_ME04-I2_2025.pdf</t>
        </is>
      </c>
      <c r="L73" s="8" t="inlineStr">
        <is>
          <t>EJEMPLO Coord. de calidad de Obstetricia</t>
        </is>
      </c>
      <c r="M73" s="9" t="n">
        <v>46033</v>
      </c>
      <c r="N73" s="8" t="inlineStr">
        <is>
          <t>Borrador</t>
        </is>
      </c>
      <c r="O73" s="8" t="n"/>
      <c r="P73" s="9" t="n"/>
      <c r="Q73" s="8" t="n">
        <v>1</v>
      </c>
      <c r="R73" s="8" t="n"/>
      <c r="S73" s="8" t="inlineStr">
        <is>
          <t>EJEMPLO</t>
        </is>
      </c>
      <c r="T73" s="8" t="n"/>
      <c r="U73" s="8" t="n"/>
      <c r="V73" s="11">
        <f>IF(C73="","",IFERROR(INDEX(Catalogo!$C$5:$C$129,MATCH(C73,Catalogo!$A$5:$A$129,0)),"Código no existe"))</f>
        <v/>
      </c>
      <c r="W73" s="11">
        <f>IF(C73="","",IFERROR(INDEX(Catalogo!$G$5:$G$129,MATCH(C73,Catalogo!$A$5:$A$129,0)),""))</f>
        <v/>
      </c>
      <c r="X73" s="12">
        <f>IF(C73="","",IF(ISNUMBER(F73),F73,IF(AND(ISNUMBER(D73),ISNUMBER(E73),E73&gt;0),D73/E73*IF(W73="%",100,1),IF(ISNUMBER(D73),D73,""))))</f>
        <v/>
      </c>
      <c r="Y73" s="11">
        <f>IF(C73="","",IF(A73="","Falta periodo",IF(COUNTIF(Listas!$A$2:$A$134,A73)=0,"Periodo no válido",IF(X73="","Falta valor",IF(I73="","Falta fuente: no se mostrará",IF(AND(J73="",K73=""),"Sin evidencia",IF(N73&lt;&gt;"Validado","Sin validar","OK")))))))</f>
        <v/>
      </c>
    </row>
    <row r="74">
      <c r="A74" s="8" t="inlineStr">
        <is>
          <t>2023</t>
        </is>
      </c>
      <c r="B74" s="8" t="n"/>
      <c r="C74" s="8" t="inlineStr">
        <is>
          <t>PE02-I3</t>
        </is>
      </c>
      <c r="D74" s="8" t="n">
        <v>85</v>
      </c>
      <c r="E74" s="8" t="n">
        <v>150</v>
      </c>
      <c r="F74" s="8" t="n"/>
      <c r="G74" s="8" t="n"/>
      <c r="H74" s="8" t="n"/>
      <c r="I74" s="8" t="inlineStr">
        <is>
          <t>EJEMPLO Registro del proceso PE02, periodo 2023</t>
        </is>
      </c>
      <c r="J74" s="8" t="inlineStr">
        <is>
          <t>EV44</t>
        </is>
      </c>
      <c r="K74" s="8" t="inlineStr">
        <is>
          <t>EJEMPLO_PE02-I3_2023.pdf</t>
        </is>
      </c>
      <c r="L74" s="8" t="inlineStr">
        <is>
          <t>EJEMPLO Coord. de calidad de Obstetricia</t>
        </is>
      </c>
      <c r="M74" s="9" t="n">
        <v>45313</v>
      </c>
      <c r="N74" s="8" t="inlineStr">
        <is>
          <t>Observado</t>
        </is>
      </c>
      <c r="O74" s="8" t="n"/>
      <c r="P74" s="9" t="n"/>
      <c r="Q74" s="8" t="n">
        <v>1</v>
      </c>
      <c r="R74" s="8" t="n"/>
      <c r="S74" s="8" t="inlineStr">
        <is>
          <t>EJEMPLO</t>
        </is>
      </c>
      <c r="T74" s="8" t="n"/>
      <c r="U74" s="8" t="n"/>
      <c r="V74" s="11">
        <f>IF(C74="","",IFERROR(INDEX(Catalogo!$C$5:$C$129,MATCH(C74,Catalogo!$A$5:$A$129,0)),"Código no existe"))</f>
        <v/>
      </c>
      <c r="W74" s="11">
        <f>IF(C74="","",IFERROR(INDEX(Catalogo!$G$5:$G$129,MATCH(C74,Catalogo!$A$5:$A$129,0)),""))</f>
        <v/>
      </c>
      <c r="X74" s="12">
        <f>IF(C74="","",IF(ISNUMBER(F74),F74,IF(AND(ISNUMBER(D74),ISNUMBER(E74),E74&gt;0),D74/E74*IF(W74="%",100,1),IF(ISNUMBER(D74),D74,""))))</f>
        <v/>
      </c>
      <c r="Y74" s="11">
        <f>IF(C74="","",IF(A74="","Falta periodo",IF(COUNTIF(Listas!$A$2:$A$134,A74)=0,"Periodo no válido",IF(X74="","Falta valor",IF(I74="","Falta fuente: no se mostrará",IF(AND(J74="",K74=""),"Sin evidencia",IF(N74&lt;&gt;"Validado","Sin validar","OK")))))))</f>
        <v/>
      </c>
    </row>
    <row r="75">
      <c r="A75" s="8" t="inlineStr">
        <is>
          <t>2024</t>
        </is>
      </c>
      <c r="B75" s="8" t="n"/>
      <c r="C75" s="8" t="inlineStr">
        <is>
          <t>PE02-I3</t>
        </is>
      </c>
      <c r="D75" s="8" t="n">
        <v>92</v>
      </c>
      <c r="E75" s="8" t="n">
        <v>120</v>
      </c>
      <c r="F75" s="8" t="n"/>
      <c r="G75" s="8" t="n"/>
      <c r="H75" s="8" t="n"/>
      <c r="I75" s="8" t="inlineStr">
        <is>
          <t>EJEMPLO Registro del proceso PE02, periodo 2024</t>
        </is>
      </c>
      <c r="J75" s="8" t="inlineStr">
        <is>
          <t>EV30</t>
        </is>
      </c>
      <c r="K75" s="8" t="inlineStr">
        <is>
          <t>EJEMPLO_PE02-I3_2024.pdf</t>
        </is>
      </c>
      <c r="L75" s="8" t="inlineStr">
        <is>
          <t>EJEMPLO Coord. de calidad de Obstetricia</t>
        </is>
      </c>
      <c r="M75" s="9" t="n">
        <v>45671</v>
      </c>
      <c r="N75" s="8" t="inlineStr">
        <is>
          <t>Validado</t>
        </is>
      </c>
      <c r="O75" s="8" t="inlineStr">
        <is>
          <t>EJEMPLO Dirección de Escuela de Obstetricia</t>
        </is>
      </c>
      <c r="P75" s="9" t="n">
        <v>45677</v>
      </c>
      <c r="Q75" s="8" t="n">
        <v>1</v>
      </c>
      <c r="R75" s="8" t="n"/>
      <c r="S75" s="8" t="inlineStr">
        <is>
          <t>EJEMPLO</t>
        </is>
      </c>
      <c r="T75" s="8" t="n"/>
      <c r="U75" s="8" t="n"/>
      <c r="V75" s="11">
        <f>IF(C75="","",IFERROR(INDEX(Catalogo!$C$5:$C$129,MATCH(C75,Catalogo!$A$5:$A$129,0)),"Código no existe"))</f>
        <v/>
      </c>
      <c r="W75" s="11">
        <f>IF(C75="","",IFERROR(INDEX(Catalogo!$G$5:$G$129,MATCH(C75,Catalogo!$A$5:$A$129,0)),""))</f>
        <v/>
      </c>
      <c r="X75" s="12">
        <f>IF(C75="","",IF(ISNUMBER(F75),F75,IF(AND(ISNUMBER(D75),ISNUMBER(E75),E75&gt;0),D75/E75*IF(W75="%",100,1),IF(ISNUMBER(D75),D75,""))))</f>
        <v/>
      </c>
      <c r="Y75" s="11">
        <f>IF(C75="","",IF(A75="","Falta periodo",IF(COUNTIF(Listas!$A$2:$A$134,A75)=0,"Periodo no válido",IF(X75="","Falta valor",IF(I75="","Falta fuente: no se mostrará",IF(AND(J75="",K75=""),"Sin evidencia",IF(N75&lt;&gt;"Validado","Sin validar","OK")))))))</f>
        <v/>
      </c>
    </row>
    <row r="76">
      <c r="A76" s="8" t="inlineStr">
        <is>
          <t>2025</t>
        </is>
      </c>
      <c r="B76" s="8" t="n"/>
      <c r="C76" s="8" t="inlineStr">
        <is>
          <t>PE02-I3</t>
        </is>
      </c>
      <c r="D76" s="8" t="n"/>
      <c r="E76" s="8" t="n"/>
      <c r="F76" s="8" t="n">
        <v>58.96</v>
      </c>
      <c r="G76" s="8" t="n"/>
      <c r="H76" s="8" t="n"/>
      <c r="I76" s="8" t="inlineStr">
        <is>
          <t>EJEMPLO Registro del proceso PE02, periodo 2025</t>
        </is>
      </c>
      <c r="J76" s="8" t="inlineStr">
        <is>
          <t>EV21</t>
        </is>
      </c>
      <c r="K76" s="8" t="inlineStr">
        <is>
          <t>EJEMPLO_PE02-I3_2025.pdf</t>
        </is>
      </c>
      <c r="L76" s="8" t="inlineStr">
        <is>
          <t>EJEMPLO Coord. de calidad de Obstetricia</t>
        </is>
      </c>
      <c r="M76" s="9" t="n">
        <v>46031</v>
      </c>
      <c r="N76" s="8" t="inlineStr">
        <is>
          <t>Validado</t>
        </is>
      </c>
      <c r="O76" s="8" t="inlineStr">
        <is>
          <t>EJEMPLO Dirección de Escuela de Obstetricia</t>
        </is>
      </c>
      <c r="P76" s="9" t="n">
        <v>46036</v>
      </c>
      <c r="Q76" s="8" t="n">
        <v>1</v>
      </c>
      <c r="R76" s="8" t="n"/>
      <c r="S76" s="8" t="inlineStr">
        <is>
          <t>EJEMPLO</t>
        </is>
      </c>
      <c r="T76" s="8" t="n"/>
      <c r="U76" s="8" t="n"/>
      <c r="V76" s="11">
        <f>IF(C76="","",IFERROR(INDEX(Catalogo!$C$5:$C$129,MATCH(C76,Catalogo!$A$5:$A$129,0)),"Código no existe"))</f>
        <v/>
      </c>
      <c r="W76" s="11">
        <f>IF(C76="","",IFERROR(INDEX(Catalogo!$G$5:$G$129,MATCH(C76,Catalogo!$A$5:$A$129,0)),""))</f>
        <v/>
      </c>
      <c r="X76" s="12">
        <f>IF(C76="","",IF(ISNUMBER(F76),F76,IF(AND(ISNUMBER(D76),ISNUMBER(E76),E76&gt;0),D76/E76*IF(W76="%",100,1),IF(ISNUMBER(D76),D76,""))))</f>
        <v/>
      </c>
      <c r="Y76" s="11">
        <f>IF(C76="","",IF(A76="","Falta periodo",IF(COUNTIF(Listas!$A$2:$A$134,A76)=0,"Periodo no válido",IF(X76="","Falta valor",IF(I76="","Falta fuente: no se mostrará",IF(AND(J76="",K76=""),"Sin evidencia",IF(N76&lt;&gt;"Validado","Sin validar","OK")))))))</f>
        <v/>
      </c>
    </row>
    <row r="77">
      <c r="A77" s="8" t="inlineStr">
        <is>
          <t>2024</t>
        </is>
      </c>
      <c r="B77" s="8" t="n"/>
      <c r="C77" s="8" t="inlineStr">
        <is>
          <t>PE02-I4</t>
        </is>
      </c>
      <c r="D77" s="8" t="n">
        <v>18</v>
      </c>
      <c r="E77" s="8" t="n">
        <v>85</v>
      </c>
      <c r="F77" s="8" t="n"/>
      <c r="G77" s="8" t="n"/>
      <c r="H77" s="8" t="n"/>
      <c r="I77" s="8" t="inlineStr">
        <is>
          <t>EJEMPLO Registro del proceso PE02, periodo 2024</t>
        </is>
      </c>
      <c r="J77" s="8" t="inlineStr">
        <is>
          <t>EV41</t>
        </is>
      </c>
      <c r="K77" s="8" t="inlineStr">
        <is>
          <t>EJEMPLO_PE02-I4_2024.pdf</t>
        </is>
      </c>
      <c r="L77" s="8" t="inlineStr">
        <is>
          <t>EJEMPLO Coord. de calidad de Obstetricia</t>
        </is>
      </c>
      <c r="M77" s="9" t="n">
        <v>45664</v>
      </c>
      <c r="N77" s="8" t="inlineStr">
        <is>
          <t>Borrador</t>
        </is>
      </c>
      <c r="O77" s="8" t="n"/>
      <c r="P77" s="9" t="n"/>
      <c r="Q77" s="8" t="n">
        <v>1</v>
      </c>
      <c r="R77" s="8" t="n"/>
      <c r="S77" s="8" t="inlineStr">
        <is>
          <t>EJEMPLO</t>
        </is>
      </c>
      <c r="T77" s="8" t="n"/>
      <c r="U77" s="8" t="n"/>
      <c r="V77" s="11">
        <f>IF(C77="","",IFERROR(INDEX(Catalogo!$C$5:$C$129,MATCH(C77,Catalogo!$A$5:$A$129,0)),"Código no existe"))</f>
        <v/>
      </c>
      <c r="W77" s="11">
        <f>IF(C77="","",IFERROR(INDEX(Catalogo!$G$5:$G$129,MATCH(C77,Catalogo!$A$5:$A$129,0)),""))</f>
        <v/>
      </c>
      <c r="X77" s="12">
        <f>IF(C77="","",IF(ISNUMBER(F77),F77,IF(AND(ISNUMBER(D77),ISNUMBER(E77),E77&gt;0),D77/E77*IF(W77="%",100,1),IF(ISNUMBER(D77),D77,""))))</f>
        <v/>
      </c>
      <c r="Y77" s="11">
        <f>IF(C77="","",IF(A77="","Falta periodo",IF(COUNTIF(Listas!$A$2:$A$134,A77)=0,"Periodo no válido",IF(X77="","Falta valor",IF(I77="","Falta fuente: no se mostrará",IF(AND(J77="",K77=""),"Sin evidencia",IF(N77&lt;&gt;"Validado","Sin validar","OK")))))))</f>
        <v/>
      </c>
    </row>
    <row r="78">
      <c r="A78" s="8" t="inlineStr">
        <is>
          <t>2025</t>
        </is>
      </c>
      <c r="B78" s="8" t="n"/>
      <c r="C78" s="8" t="inlineStr">
        <is>
          <t>PE02-I4</t>
        </is>
      </c>
      <c r="D78" s="8" t="n">
        <v>19</v>
      </c>
      <c r="E78" s="8" t="n">
        <v>85</v>
      </c>
      <c r="F78" s="8" t="n"/>
      <c r="G78" s="8" t="n"/>
      <c r="H78" s="8" t="n"/>
      <c r="I78" s="8" t="inlineStr">
        <is>
          <t>EJEMPLO Registro del proceso PE02, periodo 2025</t>
        </is>
      </c>
      <c r="J78" s="8" t="inlineStr">
        <is>
          <t>EV38</t>
        </is>
      </c>
      <c r="K78" s="8" t="inlineStr">
        <is>
          <t>EJEMPLO_PE02-I4_2025.pdf</t>
        </is>
      </c>
      <c r="L78" s="8" t="inlineStr">
        <is>
          <t>EJEMPLO Coord. de calidad de Obstetricia</t>
        </is>
      </c>
      <c r="M78" s="9" t="n">
        <v>46041</v>
      </c>
      <c r="N78" s="8" t="inlineStr">
        <is>
          <t>Validado</t>
        </is>
      </c>
      <c r="O78" s="8" t="inlineStr">
        <is>
          <t>EJEMPLO Dirección de Escuela de Obstetricia</t>
        </is>
      </c>
      <c r="P78" s="9" t="n">
        <v>46045</v>
      </c>
      <c r="Q78" s="8" t="n">
        <v>1</v>
      </c>
      <c r="R78" s="8" t="n"/>
      <c r="S78" s="8" t="inlineStr">
        <is>
          <t>EJEMPLO</t>
        </is>
      </c>
      <c r="T78" s="8" t="n"/>
      <c r="U78" s="8" t="n"/>
      <c r="V78" s="11">
        <f>IF(C78="","",IFERROR(INDEX(Catalogo!$C$5:$C$129,MATCH(C78,Catalogo!$A$5:$A$129,0)),"Código no existe"))</f>
        <v/>
      </c>
      <c r="W78" s="11">
        <f>IF(C78="","",IFERROR(INDEX(Catalogo!$G$5:$G$129,MATCH(C78,Catalogo!$A$5:$A$129,0)),""))</f>
        <v/>
      </c>
      <c r="X78" s="12">
        <f>IF(C78="","",IF(ISNUMBER(F78),F78,IF(AND(ISNUMBER(D78),ISNUMBER(E78),E78&gt;0),D78/E78*IF(W78="%",100,1),IF(ISNUMBER(D78),D78,""))))</f>
        <v/>
      </c>
      <c r="Y78" s="11">
        <f>IF(C78="","",IF(A78="","Falta periodo",IF(COUNTIF(Listas!$A$2:$A$134,A78)=0,"Periodo no válido",IF(X78="","Falta valor",IF(I78="","Falta fuente: no se mostrará",IF(AND(J78="",K78=""),"Sin evidencia",IF(N78&lt;&gt;"Validado","Sin validar","OK")))))))</f>
        <v/>
      </c>
    </row>
    <row r="79">
      <c r="A79" s="8" t="inlineStr">
        <is>
          <t>2024</t>
        </is>
      </c>
      <c r="B79" s="8" t="n"/>
      <c r="C79" s="8" t="inlineStr">
        <is>
          <t>PE04-I1</t>
        </is>
      </c>
      <c r="D79" s="8" t="n">
        <v>27</v>
      </c>
      <c r="E79" s="8" t="n">
        <v>48</v>
      </c>
      <c r="F79" s="8" t="n"/>
      <c r="G79" s="8" t="n"/>
      <c r="H79" s="8" t="n"/>
      <c r="I79" s="8" t="inlineStr">
        <is>
          <t>EJEMPLO Registro del proceso PE04, periodo 2024</t>
        </is>
      </c>
      <c r="J79" s="8" t="n"/>
      <c r="K79" s="8" t="n"/>
      <c r="L79" s="8" t="inlineStr">
        <is>
          <t>EJEMPLO Coord. de calidad de Obstetricia</t>
        </is>
      </c>
      <c r="M79" s="9" t="n">
        <v>45679</v>
      </c>
      <c r="N79" s="8" t="inlineStr">
        <is>
          <t>Observado</t>
        </is>
      </c>
      <c r="O79" s="8" t="n"/>
      <c r="P79" s="9" t="n"/>
      <c r="Q79" s="8" t="n">
        <v>1</v>
      </c>
      <c r="R79" s="8" t="n"/>
      <c r="S79" s="8" t="inlineStr">
        <is>
          <t>EJEMPLO</t>
        </is>
      </c>
      <c r="T79" s="8" t="n"/>
      <c r="U79" s="8" t="n"/>
      <c r="V79" s="11">
        <f>IF(C79="","",IFERROR(INDEX(Catalogo!$C$5:$C$129,MATCH(C79,Catalogo!$A$5:$A$129,0)),"Código no existe"))</f>
        <v/>
      </c>
      <c r="W79" s="11">
        <f>IF(C79="","",IFERROR(INDEX(Catalogo!$G$5:$G$129,MATCH(C79,Catalogo!$A$5:$A$129,0)),""))</f>
        <v/>
      </c>
      <c r="X79" s="12">
        <f>IF(C79="","",IF(ISNUMBER(F79),F79,IF(AND(ISNUMBER(D79),ISNUMBER(E79),E79&gt;0),D79/E79*IF(W79="%",100,1),IF(ISNUMBER(D79),D79,""))))</f>
        <v/>
      </c>
      <c r="Y79" s="11">
        <f>IF(C79="","",IF(A79="","Falta periodo",IF(COUNTIF(Listas!$A$2:$A$134,A79)=0,"Periodo no válido",IF(X79="","Falta valor",IF(I79="","Falta fuente: no se mostrará",IF(AND(J79="",K79=""),"Sin evidencia",IF(N79&lt;&gt;"Validado","Sin validar","OK")))))))</f>
        <v/>
      </c>
    </row>
    <row r="80">
      <c r="A80" s="8" t="inlineStr">
        <is>
          <t>2025</t>
        </is>
      </c>
      <c r="B80" s="8" t="n"/>
      <c r="C80" s="8" t="inlineStr">
        <is>
          <t>PE04-I1</t>
        </is>
      </c>
      <c r="D80" s="8" t="n"/>
      <c r="E80" s="8" t="n"/>
      <c r="F80" s="8" t="n">
        <v>64.91</v>
      </c>
      <c r="G80" s="8" t="n"/>
      <c r="H80" s="8" t="n"/>
      <c r="I80" s="8" t="inlineStr">
        <is>
          <t>EJEMPLO Registro del proceso PE04, periodo 2025</t>
        </is>
      </c>
      <c r="J80" s="8" t="inlineStr">
        <is>
          <t>EV13</t>
        </is>
      </c>
      <c r="K80" s="8" t="inlineStr">
        <is>
          <t>EJEMPLO_PE04-I1_2025.pdf</t>
        </is>
      </c>
      <c r="L80" s="8" t="inlineStr">
        <is>
          <t>EJEMPLO Coord. de calidad de Obstetricia</t>
        </is>
      </c>
      <c r="M80" s="9" t="n">
        <v>46042</v>
      </c>
      <c r="N80" s="8" t="inlineStr">
        <is>
          <t>Validado</t>
        </is>
      </c>
      <c r="O80" s="8" t="inlineStr">
        <is>
          <t>EJEMPLO Dirección de Escuela de Obstetricia</t>
        </is>
      </c>
      <c r="P80" s="9" t="n">
        <v>46051</v>
      </c>
      <c r="Q80" s="8" t="n">
        <v>1</v>
      </c>
      <c r="R80" s="8" t="n"/>
      <c r="S80" s="8" t="inlineStr">
        <is>
          <t>EJEMPLO</t>
        </is>
      </c>
      <c r="T80" s="8" t="n"/>
      <c r="U80" s="8" t="n"/>
      <c r="V80" s="11">
        <f>IF(C80="","",IFERROR(INDEX(Catalogo!$C$5:$C$129,MATCH(C80,Catalogo!$A$5:$A$129,0)),"Código no existe"))</f>
        <v/>
      </c>
      <c r="W80" s="11">
        <f>IF(C80="","",IFERROR(INDEX(Catalogo!$G$5:$G$129,MATCH(C80,Catalogo!$A$5:$A$129,0)),""))</f>
        <v/>
      </c>
      <c r="X80" s="12">
        <f>IF(C80="","",IF(ISNUMBER(F80),F80,IF(AND(ISNUMBER(D80),ISNUMBER(E80),E80&gt;0),D80/E80*IF(W80="%",100,1),IF(ISNUMBER(D80),D80,""))))</f>
        <v/>
      </c>
      <c r="Y80" s="11">
        <f>IF(C80="","",IF(A80="","Falta periodo",IF(COUNTIF(Listas!$A$2:$A$134,A80)=0,"Periodo no válido",IF(X80="","Falta valor",IF(I80="","Falta fuente: no se mostrará",IF(AND(J80="",K80=""),"Sin evidencia",IF(N80&lt;&gt;"Validado","Sin validar","OK")))))))</f>
        <v/>
      </c>
    </row>
    <row r="81">
      <c r="A81" s="8" t="inlineStr">
        <is>
          <t>2024</t>
        </is>
      </c>
      <c r="B81" s="8" t="n"/>
      <c r="C81" s="8" t="inlineStr">
        <is>
          <t>PM01-I3</t>
        </is>
      </c>
      <c r="D81" s="8" t="n">
        <v>150</v>
      </c>
      <c r="E81" s="8" t="n">
        <v>150</v>
      </c>
      <c r="F81" s="8" t="n"/>
      <c r="G81" s="8" t="n"/>
      <c r="H81" s="8" t="n"/>
      <c r="I81" s="8" t="inlineStr">
        <is>
          <t>EJEMPLO Registro del proceso PM01, periodo 2024</t>
        </is>
      </c>
      <c r="J81" s="8" t="inlineStr">
        <is>
          <t>EV30</t>
        </is>
      </c>
      <c r="K81" s="8" t="inlineStr">
        <is>
          <t>EJEMPLO_PM01-I3_2024.pdf</t>
        </is>
      </c>
      <c r="L81" s="8" t="inlineStr">
        <is>
          <t>EJEMPLO Coord. de calidad de Obstetricia</t>
        </is>
      </c>
      <c r="M81" s="9" t="n">
        <v>45675</v>
      </c>
      <c r="N81" s="8" t="inlineStr">
        <is>
          <t>Validado</t>
        </is>
      </c>
      <c r="O81" s="8" t="inlineStr">
        <is>
          <t>EJEMPLO Dirección de Escuela de Obstetricia</t>
        </is>
      </c>
      <c r="P81" s="9" t="n">
        <v>45682</v>
      </c>
      <c r="Q81" s="8" t="n">
        <v>1</v>
      </c>
      <c r="R81" s="8" t="n"/>
      <c r="S81" s="8" t="inlineStr">
        <is>
          <t>EJEMPLO</t>
        </is>
      </c>
      <c r="T81" s="8" t="n"/>
      <c r="U81" s="8" t="n"/>
      <c r="V81" s="11">
        <f>IF(C81="","",IFERROR(INDEX(Catalogo!$C$5:$C$129,MATCH(C81,Catalogo!$A$5:$A$129,0)),"Código no existe"))</f>
        <v/>
      </c>
      <c r="W81" s="11">
        <f>IF(C81="","",IFERROR(INDEX(Catalogo!$G$5:$G$129,MATCH(C81,Catalogo!$A$5:$A$129,0)),""))</f>
        <v/>
      </c>
      <c r="X81" s="12">
        <f>IF(C81="","",IF(ISNUMBER(F81),F81,IF(AND(ISNUMBER(D81),ISNUMBER(E81),E81&gt;0),D81/E81*IF(W81="%",100,1),IF(ISNUMBER(D81),D81,""))))</f>
        <v/>
      </c>
      <c r="Y81" s="11">
        <f>IF(C81="","",IF(A81="","Falta periodo",IF(COUNTIF(Listas!$A$2:$A$134,A81)=0,"Periodo no válido",IF(X81="","Falta valor",IF(I81="","Falta fuente: no se mostrará",IF(AND(J81="",K81=""),"Sin evidencia",IF(N81&lt;&gt;"Validado","Sin validar","OK")))))))</f>
        <v/>
      </c>
    </row>
    <row r="82">
      <c r="A82" s="8" t="inlineStr">
        <is>
          <t>2025</t>
        </is>
      </c>
      <c r="B82" s="8" t="n"/>
      <c r="C82" s="8" t="inlineStr">
        <is>
          <t>PM01-I3</t>
        </is>
      </c>
      <c r="D82" s="8" t="n">
        <v>320</v>
      </c>
      <c r="E82" s="8" t="n">
        <v>320</v>
      </c>
      <c r="F82" s="8" t="n"/>
      <c r="G82" s="8" t="n"/>
      <c r="H82" s="8" t="n"/>
      <c r="I82" s="8" t="inlineStr">
        <is>
          <t>EJEMPLO Registro del proceso PM01, periodo 2025</t>
        </is>
      </c>
      <c r="J82" s="8" t="inlineStr">
        <is>
          <t>EV21</t>
        </is>
      </c>
      <c r="K82" s="8" t="inlineStr">
        <is>
          <t>EJEMPLO_PM01-I3_2025.pdf</t>
        </is>
      </c>
      <c r="L82" s="8" t="inlineStr">
        <is>
          <t>EJEMPLO Coord. de calidad de Obstetricia</t>
        </is>
      </c>
      <c r="M82" s="9" t="n">
        <v>46049</v>
      </c>
      <c r="N82" s="8" t="inlineStr">
        <is>
          <t>Validado</t>
        </is>
      </c>
      <c r="O82" s="8" t="inlineStr">
        <is>
          <t>EJEMPLO Dirección de Escuela de Obstetricia</t>
        </is>
      </c>
      <c r="P82" s="9" t="n">
        <v>46054</v>
      </c>
      <c r="Q82" s="8" t="n">
        <v>1</v>
      </c>
      <c r="R82" s="8" t="n"/>
      <c r="S82" s="8" t="inlineStr">
        <is>
          <t>EJEMPLO</t>
        </is>
      </c>
      <c r="T82" s="8" t="n"/>
      <c r="U82" s="8" t="n"/>
      <c r="V82" s="11">
        <f>IF(C82="","",IFERROR(INDEX(Catalogo!$C$5:$C$129,MATCH(C82,Catalogo!$A$5:$A$129,0)),"Código no existe"))</f>
        <v/>
      </c>
      <c r="W82" s="11">
        <f>IF(C82="","",IFERROR(INDEX(Catalogo!$G$5:$G$129,MATCH(C82,Catalogo!$A$5:$A$129,0)),""))</f>
        <v/>
      </c>
      <c r="X82" s="12">
        <f>IF(C82="","",IF(ISNUMBER(F82),F82,IF(AND(ISNUMBER(D82),ISNUMBER(E82),E82&gt;0),D82/E82*IF(W82="%",100,1),IF(ISNUMBER(D82),D82,""))))</f>
        <v/>
      </c>
      <c r="Y82" s="11">
        <f>IF(C82="","",IF(A82="","Falta periodo",IF(COUNTIF(Listas!$A$2:$A$134,A82)=0,"Periodo no válido",IF(X82="","Falta valor",IF(I82="","Falta fuente: no se mostrará",IF(AND(J82="",K82=""),"Sin evidencia",IF(N82&lt;&gt;"Validado","Sin validar","OK")))))))</f>
        <v/>
      </c>
    </row>
    <row r="83">
      <c r="A83" s="8" t="inlineStr">
        <is>
          <t>2024</t>
        </is>
      </c>
      <c r="B83" s="8" t="n"/>
      <c r="C83" s="8" t="inlineStr">
        <is>
          <t>PM03-I4</t>
        </is>
      </c>
      <c r="D83" s="8" t="n">
        <v>128</v>
      </c>
      <c r="E83" s="8" t="n">
        <v>210</v>
      </c>
      <c r="F83" s="8" t="n"/>
      <c r="G83" s="8" t="n"/>
      <c r="H83" s="8" t="n"/>
      <c r="I83" s="8" t="inlineStr">
        <is>
          <t>EJEMPLO Registro del proceso PM03, periodo 2024</t>
        </is>
      </c>
      <c r="J83" s="8" t="n"/>
      <c r="K83" s="8" t="n"/>
      <c r="L83" s="8" t="inlineStr">
        <is>
          <t>EJEMPLO Coord. de calidad de Obstetricia</t>
        </is>
      </c>
      <c r="M83" s="9" t="n">
        <v>45675</v>
      </c>
      <c r="N83" s="8" t="inlineStr">
        <is>
          <t>Validado</t>
        </is>
      </c>
      <c r="O83" s="8" t="inlineStr">
        <is>
          <t>EJEMPLO Dirección de Escuela de Obstetricia</t>
        </is>
      </c>
      <c r="P83" s="9" t="n">
        <v>45684</v>
      </c>
      <c r="Q83" s="8" t="n">
        <v>1</v>
      </c>
      <c r="R83" s="8" t="n"/>
      <c r="S83" s="8" t="inlineStr">
        <is>
          <t>EJEMPLO</t>
        </is>
      </c>
      <c r="T83" s="8" t="n"/>
      <c r="U83" s="8" t="n"/>
      <c r="V83" s="11">
        <f>IF(C83="","",IFERROR(INDEX(Catalogo!$C$5:$C$129,MATCH(C83,Catalogo!$A$5:$A$129,0)),"Código no existe"))</f>
        <v/>
      </c>
      <c r="W83" s="11">
        <f>IF(C83="","",IFERROR(INDEX(Catalogo!$G$5:$G$129,MATCH(C83,Catalogo!$A$5:$A$129,0)),""))</f>
        <v/>
      </c>
      <c r="X83" s="12">
        <f>IF(C83="","",IF(ISNUMBER(F83),F83,IF(AND(ISNUMBER(D83),ISNUMBER(E83),E83&gt;0),D83/E83*IF(W83="%",100,1),IF(ISNUMBER(D83),D83,""))))</f>
        <v/>
      </c>
      <c r="Y83" s="11">
        <f>IF(C83="","",IF(A83="","Falta periodo",IF(COUNTIF(Listas!$A$2:$A$134,A83)=0,"Periodo no válido",IF(X83="","Falta valor",IF(I83="","Falta fuente: no se mostrará",IF(AND(J83="",K83=""),"Sin evidencia",IF(N83&lt;&gt;"Validado","Sin validar","OK")))))))</f>
        <v/>
      </c>
    </row>
    <row r="84">
      <c r="A84" s="8" t="inlineStr">
        <is>
          <t>2025</t>
        </is>
      </c>
      <c r="B84" s="8" t="n"/>
      <c r="C84" s="8" t="inlineStr">
        <is>
          <t>PM03-I4</t>
        </is>
      </c>
      <c r="D84" s="8" t="n">
        <v>135</v>
      </c>
      <c r="E84" s="8" t="n">
        <v>210</v>
      </c>
      <c r="F84" s="8" t="n"/>
      <c r="G84" s="8" t="n"/>
      <c r="H84" s="8" t="n"/>
      <c r="I84" s="8" t="inlineStr">
        <is>
          <t>EJEMPLO Registro del proceso PM03, periodo 2025</t>
        </is>
      </c>
      <c r="J84" s="8" t="inlineStr">
        <is>
          <t>EV21</t>
        </is>
      </c>
      <c r="K84" s="8" t="inlineStr">
        <is>
          <t>EJEMPLO_PM03-I4_2025.pdf</t>
        </is>
      </c>
      <c r="L84" s="8" t="inlineStr">
        <is>
          <t>EJEMPLO Coord. de calidad de Obstetricia</t>
        </is>
      </c>
      <c r="M84" s="9" t="n">
        <v>46038</v>
      </c>
      <c r="N84" s="8" t="inlineStr">
        <is>
          <t>Validado</t>
        </is>
      </c>
      <c r="O84" s="8" t="inlineStr">
        <is>
          <t>EJEMPLO Dirección de Escuela de Obstetricia</t>
        </is>
      </c>
      <c r="P84" s="9" t="n">
        <v>46045</v>
      </c>
      <c r="Q84" s="8" t="n">
        <v>1</v>
      </c>
      <c r="R84" s="8" t="n"/>
      <c r="S84" s="8" t="inlineStr">
        <is>
          <t>EJEMPLO</t>
        </is>
      </c>
      <c r="T84" s="8" t="n"/>
      <c r="U84" s="8" t="n"/>
      <c r="V84" s="11">
        <f>IF(C84="","",IFERROR(INDEX(Catalogo!$C$5:$C$129,MATCH(C84,Catalogo!$A$5:$A$129,0)),"Código no existe"))</f>
        <v/>
      </c>
      <c r="W84" s="11">
        <f>IF(C84="","",IFERROR(INDEX(Catalogo!$G$5:$G$129,MATCH(C84,Catalogo!$A$5:$A$129,0)),""))</f>
        <v/>
      </c>
      <c r="X84" s="12">
        <f>IF(C84="","",IF(ISNUMBER(F84),F84,IF(AND(ISNUMBER(D84),ISNUMBER(E84),E84&gt;0),D84/E84*IF(W84="%",100,1),IF(ISNUMBER(D84),D84,""))))</f>
        <v/>
      </c>
      <c r="Y84" s="11">
        <f>IF(C84="","",IF(A84="","Falta periodo",IF(COUNTIF(Listas!$A$2:$A$134,A84)=0,"Periodo no válido",IF(X84="","Falta valor",IF(I84="","Falta fuente: no se mostrará",IF(AND(J84="",K84=""),"Sin evidencia",IF(N84&lt;&gt;"Validado","Sin validar","OK")))))))</f>
        <v/>
      </c>
    </row>
    <row r="85">
      <c r="A85" s="8" t="inlineStr">
        <is>
          <t>2025-T1</t>
        </is>
      </c>
      <c r="B85" s="8" t="n"/>
      <c r="C85" s="8" t="inlineStr">
        <is>
          <t>PM04-I3</t>
        </is>
      </c>
      <c r="D85" s="8" t="n"/>
      <c r="E85" s="8" t="n"/>
      <c r="F85" s="8" t="n">
        <v>74.95</v>
      </c>
      <c r="G85" s="8" t="n"/>
      <c r="H85" s="8" t="n"/>
      <c r="I85" s="8" t="inlineStr">
        <is>
          <t>EJEMPLO Registro del proceso PM04, periodo 2025-T1</t>
        </is>
      </c>
      <c r="J85" s="8" t="inlineStr">
        <is>
          <t>EV41</t>
        </is>
      </c>
      <c r="K85" s="8" t="inlineStr">
        <is>
          <t>EJEMPLO_PM04-I3_2025-T1.pdf</t>
        </is>
      </c>
      <c r="L85" s="8" t="inlineStr">
        <is>
          <t>EJEMPLO Coord. de calidad de Obstetricia</t>
        </is>
      </c>
      <c r="M85" s="9" t="n">
        <v>45758</v>
      </c>
      <c r="N85" s="8" t="inlineStr">
        <is>
          <t>Validado</t>
        </is>
      </c>
      <c r="O85" s="8" t="inlineStr">
        <is>
          <t>EJEMPLO Dirección de Escuela de Obstetricia</t>
        </is>
      </c>
      <c r="P85" s="9" t="n">
        <v>45765</v>
      </c>
      <c r="Q85" s="8" t="n">
        <v>1</v>
      </c>
      <c r="R85" s="8" t="n"/>
      <c r="S85" s="8" t="inlineStr">
        <is>
          <t>EJEMPLO</t>
        </is>
      </c>
      <c r="T85" s="8" t="n"/>
      <c r="U85" s="8" t="n"/>
      <c r="V85" s="11">
        <f>IF(C85="","",IFERROR(INDEX(Catalogo!$C$5:$C$129,MATCH(C85,Catalogo!$A$5:$A$129,0)),"Código no existe"))</f>
        <v/>
      </c>
      <c r="W85" s="11">
        <f>IF(C85="","",IFERROR(INDEX(Catalogo!$G$5:$G$129,MATCH(C85,Catalogo!$A$5:$A$129,0)),""))</f>
        <v/>
      </c>
      <c r="X85" s="12">
        <f>IF(C85="","",IF(ISNUMBER(F85),F85,IF(AND(ISNUMBER(D85),ISNUMBER(E85),E85&gt;0),D85/E85*IF(W85="%",100,1),IF(ISNUMBER(D85),D85,""))))</f>
        <v/>
      </c>
      <c r="Y85" s="11">
        <f>IF(C85="","",IF(A85="","Falta periodo",IF(COUNTIF(Listas!$A$2:$A$134,A85)=0,"Periodo no válido",IF(X85="","Falta valor",IF(I85="","Falta fuente: no se mostrará",IF(AND(J85="",K85=""),"Sin evidencia",IF(N85&lt;&gt;"Validado","Sin validar","OK")))))))</f>
        <v/>
      </c>
    </row>
    <row r="86">
      <c r="A86" s="8" t="inlineStr">
        <is>
          <t>2025-T2</t>
        </is>
      </c>
      <c r="B86" s="8" t="n"/>
      <c r="C86" s="8" t="inlineStr">
        <is>
          <t>PM04-I3</t>
        </is>
      </c>
      <c r="D86" s="8" t="n">
        <v>128</v>
      </c>
      <c r="E86" s="8" t="n">
        <v>210</v>
      </c>
      <c r="F86" s="8" t="n"/>
      <c r="G86" s="8" t="n"/>
      <c r="H86" s="8" t="n"/>
      <c r="I86" s="8" t="inlineStr">
        <is>
          <t>EJEMPLO Registro del proceso PM04, periodo 2025-T2</t>
        </is>
      </c>
      <c r="J86" s="8" t="inlineStr">
        <is>
          <t>EV35</t>
        </is>
      </c>
      <c r="K86" s="8" t="inlineStr">
        <is>
          <t>EJEMPLO_PM04-I3_2025-T2.pdf</t>
        </is>
      </c>
      <c r="L86" s="8" t="inlineStr">
        <is>
          <t>EJEMPLO Coord. de calidad de Obstetricia</t>
        </is>
      </c>
      <c r="M86" s="9" t="n">
        <v>45849</v>
      </c>
      <c r="N86" s="8" t="inlineStr">
        <is>
          <t>Validado</t>
        </is>
      </c>
      <c r="O86" s="8" t="inlineStr">
        <is>
          <t>EJEMPLO Dirección de Escuela de Obstetricia</t>
        </is>
      </c>
      <c r="P86" s="9" t="n">
        <v>45855</v>
      </c>
      <c r="Q86" s="8" t="n">
        <v>1</v>
      </c>
      <c r="R86" s="8" t="n"/>
      <c r="S86" s="8" t="inlineStr">
        <is>
          <t>EJEMPLO</t>
        </is>
      </c>
      <c r="T86" s="8" t="n"/>
      <c r="U86" s="8" t="n"/>
      <c r="V86" s="11">
        <f>IF(C86="","",IFERROR(INDEX(Catalogo!$C$5:$C$129,MATCH(C86,Catalogo!$A$5:$A$129,0)),"Código no existe"))</f>
        <v/>
      </c>
      <c r="W86" s="11">
        <f>IF(C86="","",IFERROR(INDEX(Catalogo!$G$5:$G$129,MATCH(C86,Catalogo!$A$5:$A$129,0)),""))</f>
        <v/>
      </c>
      <c r="X86" s="12">
        <f>IF(C86="","",IF(ISNUMBER(F86),F86,IF(AND(ISNUMBER(D86),ISNUMBER(E86),E86&gt;0),D86/E86*IF(W86="%",100,1),IF(ISNUMBER(D86),D86,""))))</f>
        <v/>
      </c>
      <c r="Y86" s="11">
        <f>IF(C86="","",IF(A86="","Falta periodo",IF(COUNTIF(Listas!$A$2:$A$134,A86)=0,"Periodo no válido",IF(X86="","Falta valor",IF(I86="","Falta fuente: no se mostrará",IF(AND(J86="",K86=""),"Sin evidencia",IF(N86&lt;&gt;"Validado","Sin validar","OK")))))))</f>
        <v/>
      </c>
    </row>
    <row r="87">
      <c r="A87" s="8" t="inlineStr">
        <is>
          <t>2025-T3</t>
        </is>
      </c>
      <c r="B87" s="8" t="n"/>
      <c r="C87" s="8" t="inlineStr">
        <is>
          <t>PM04-I3</t>
        </is>
      </c>
      <c r="D87" s="8" t="n"/>
      <c r="E87" s="8" t="n"/>
      <c r="F87" s="8" t="n">
        <v>83.54000000000001</v>
      </c>
      <c r="G87" s="8" t="n"/>
      <c r="H87" s="8" t="n"/>
      <c r="I87" s="8" t="inlineStr">
        <is>
          <t>EJEMPLO Registro del proceso PM04, periodo 2025-T3</t>
        </is>
      </c>
      <c r="J87" s="8" t="inlineStr">
        <is>
          <t>EV30</t>
        </is>
      </c>
      <c r="K87" s="8" t="inlineStr">
        <is>
          <t>EJEMPLO_PM04-I3_2025-T3.pdf</t>
        </is>
      </c>
      <c r="L87" s="8" t="inlineStr">
        <is>
          <t>EJEMPLO Coord. de calidad de Obstetricia</t>
        </is>
      </c>
      <c r="M87" s="9" t="n">
        <v>45942</v>
      </c>
      <c r="N87" s="8" t="inlineStr">
        <is>
          <t>Validado</t>
        </is>
      </c>
      <c r="O87" s="8" t="inlineStr">
        <is>
          <t>EJEMPLO Dirección de Escuela de Obstetricia</t>
        </is>
      </c>
      <c r="P87" s="9" t="n">
        <v>45946</v>
      </c>
      <c r="Q87" s="8" t="n">
        <v>1</v>
      </c>
      <c r="R87" s="8" t="n"/>
      <c r="S87" s="8" t="inlineStr">
        <is>
          <t>EJEMPLO</t>
        </is>
      </c>
      <c r="T87" s="8" t="n"/>
      <c r="U87" s="8" t="n"/>
      <c r="V87" s="11">
        <f>IF(C87="","",IFERROR(INDEX(Catalogo!$C$5:$C$129,MATCH(C87,Catalogo!$A$5:$A$129,0)),"Código no existe"))</f>
        <v/>
      </c>
      <c r="W87" s="11">
        <f>IF(C87="","",IFERROR(INDEX(Catalogo!$G$5:$G$129,MATCH(C87,Catalogo!$A$5:$A$129,0)),""))</f>
        <v/>
      </c>
      <c r="X87" s="12">
        <f>IF(C87="","",IF(ISNUMBER(F87),F87,IF(AND(ISNUMBER(D87),ISNUMBER(E87),E87&gt;0),D87/E87*IF(W87="%",100,1),IF(ISNUMBER(D87),D87,""))))</f>
        <v/>
      </c>
      <c r="Y87" s="11">
        <f>IF(C87="","",IF(A87="","Falta periodo",IF(COUNTIF(Listas!$A$2:$A$134,A87)=0,"Periodo no válido",IF(X87="","Falta valor",IF(I87="","Falta fuente: no se mostrará",IF(AND(J87="",K87=""),"Sin evidencia",IF(N87&lt;&gt;"Validado","Sin validar","OK")))))))</f>
        <v/>
      </c>
    </row>
    <row r="88">
      <c r="A88" s="8" t="inlineStr">
        <is>
          <t>2025-T4</t>
        </is>
      </c>
      <c r="B88" s="8" t="n"/>
      <c r="C88" s="8" t="inlineStr">
        <is>
          <t>PM04-I3</t>
        </is>
      </c>
      <c r="D88" s="8" t="n">
        <v>83</v>
      </c>
      <c r="E88" s="8" t="n">
        <v>150</v>
      </c>
      <c r="F88" s="8" t="n"/>
      <c r="G88" s="8" t="n"/>
      <c r="H88" s="8" t="n"/>
      <c r="I88" s="8" t="inlineStr">
        <is>
          <t>EJEMPLO Registro del proceso PM04, periodo 2025-T4</t>
        </is>
      </c>
      <c r="J88" s="8" t="inlineStr">
        <is>
          <t>EV38</t>
        </is>
      </c>
      <c r="K88" s="8" t="inlineStr">
        <is>
          <t>EJEMPLO_PM04-I3_2025-T4.pdf</t>
        </is>
      </c>
      <c r="L88" s="8" t="inlineStr">
        <is>
          <t>EJEMPLO Coord. de calidad de Obstetricia</t>
        </is>
      </c>
      <c r="M88" s="9" t="n">
        <v>46043</v>
      </c>
      <c r="N88" s="8" t="inlineStr">
        <is>
          <t>Borrador</t>
        </is>
      </c>
      <c r="O88" s="8" t="n"/>
      <c r="P88" s="9" t="n"/>
      <c r="Q88" s="8" t="n">
        <v>1</v>
      </c>
      <c r="R88" s="8" t="n"/>
      <c r="S88" s="8" t="inlineStr">
        <is>
          <t>EJEMPLO</t>
        </is>
      </c>
      <c r="T88" s="8" t="n"/>
      <c r="U88" s="8" t="n"/>
      <c r="V88" s="11">
        <f>IF(C88="","",IFERROR(INDEX(Catalogo!$C$5:$C$129,MATCH(C88,Catalogo!$A$5:$A$129,0)),"Código no existe"))</f>
        <v/>
      </c>
      <c r="W88" s="11">
        <f>IF(C88="","",IFERROR(INDEX(Catalogo!$G$5:$G$129,MATCH(C88,Catalogo!$A$5:$A$129,0)),""))</f>
        <v/>
      </c>
      <c r="X88" s="12">
        <f>IF(C88="","",IF(ISNUMBER(F88),F88,IF(AND(ISNUMBER(D88),ISNUMBER(E88),E88&gt;0),D88/E88*IF(W88="%",100,1),IF(ISNUMBER(D88),D88,""))))</f>
        <v/>
      </c>
      <c r="Y88" s="11">
        <f>IF(C88="","",IF(A88="","Falta periodo",IF(COUNTIF(Listas!$A$2:$A$134,A88)=0,"Periodo no válido",IF(X88="","Falta valor",IF(I88="","Falta fuente: no se mostrará",IF(AND(J88="",K88=""),"Sin evidencia",IF(N88&lt;&gt;"Validado","Sin validar","OK")))))))</f>
        <v/>
      </c>
    </row>
    <row r="89">
      <c r="A89" s="8" t="inlineStr">
        <is>
          <t>2025-S1</t>
        </is>
      </c>
      <c r="B89" s="8" t="n"/>
      <c r="C89" s="8" t="inlineStr">
        <is>
          <t>ME01-I1</t>
        </is>
      </c>
      <c r="D89" s="8" t="n"/>
      <c r="E89" s="8" t="n"/>
      <c r="F89" s="8" t="n">
        <v>22.46</v>
      </c>
      <c r="G89" s="8" t="n"/>
      <c r="H89" s="8" t="n"/>
      <c r="I89" s="8" t="inlineStr">
        <is>
          <t>EJEMPLO Registro del proceso ME01, periodo 2025-S1</t>
        </is>
      </c>
      <c r="J89" s="8" t="inlineStr">
        <is>
          <t>EV35</t>
        </is>
      </c>
      <c r="K89" s="8" t="inlineStr">
        <is>
          <t>EJEMPLO_ME01-I1_2025-S1.pdf</t>
        </is>
      </c>
      <c r="L89" s="8" t="inlineStr">
        <is>
          <t>EJEMPLO Coord. de calidad de Obstetricia</t>
        </is>
      </c>
      <c r="M89" s="9" t="n">
        <v>45850</v>
      </c>
      <c r="N89" s="8" t="inlineStr">
        <is>
          <t>Validado</t>
        </is>
      </c>
      <c r="O89" s="8" t="inlineStr">
        <is>
          <t>EJEMPLO Dirección de Escuela de Obstetricia</t>
        </is>
      </c>
      <c r="P89" s="9" t="n">
        <v>45855</v>
      </c>
      <c r="Q89" s="8" t="n">
        <v>1</v>
      </c>
      <c r="R89" s="8" t="n"/>
      <c r="S89" s="8" t="inlineStr">
        <is>
          <t>EJEMPLO</t>
        </is>
      </c>
      <c r="T89" s="8" t="n"/>
      <c r="U89" s="8" t="n"/>
      <c r="V89" s="11">
        <f>IF(C89="","",IFERROR(INDEX(Catalogo!$C$5:$C$129,MATCH(C89,Catalogo!$A$5:$A$129,0)),"Código no existe"))</f>
        <v/>
      </c>
      <c r="W89" s="11">
        <f>IF(C89="","",IFERROR(INDEX(Catalogo!$G$5:$G$129,MATCH(C89,Catalogo!$A$5:$A$129,0)),""))</f>
        <v/>
      </c>
      <c r="X89" s="12">
        <f>IF(C89="","",IF(ISNUMBER(F89),F89,IF(AND(ISNUMBER(D89),ISNUMBER(E89),E89&gt;0),D89/E89*IF(W89="%",100,1),IF(ISNUMBER(D89),D89,""))))</f>
        <v/>
      </c>
      <c r="Y89" s="11">
        <f>IF(C89="","",IF(A89="","Falta periodo",IF(COUNTIF(Listas!$A$2:$A$134,A89)=0,"Periodo no válido",IF(X89="","Falta valor",IF(I89="","Falta fuente: no se mostrará",IF(AND(J89="",K89=""),"Sin evidencia",IF(N89&lt;&gt;"Validado","Sin validar","OK")))))))</f>
        <v/>
      </c>
    </row>
    <row r="90">
      <c r="A90" s="8" t="inlineStr">
        <is>
          <t>2025-S2</t>
        </is>
      </c>
      <c r="B90" s="8" t="n"/>
      <c r="C90" s="8" t="inlineStr">
        <is>
          <t>ME01-I1</t>
        </is>
      </c>
      <c r="D90" s="8" t="n">
        <v>64</v>
      </c>
      <c r="E90" s="8" t="n">
        <v>320</v>
      </c>
      <c r="F90" s="8" t="n"/>
      <c r="G90" s="8" t="n"/>
      <c r="H90" s="8" t="n"/>
      <c r="I90" s="8" t="inlineStr">
        <is>
          <t>EJEMPLO Registro del proceso ME01, periodo 2025-S2</t>
        </is>
      </c>
      <c r="J90" s="8" t="inlineStr">
        <is>
          <t>EV43</t>
        </is>
      </c>
      <c r="K90" s="8" t="inlineStr">
        <is>
          <t>EJEMPLO_ME01-I1_2025-S2.pdf</t>
        </is>
      </c>
      <c r="L90" s="8" t="inlineStr">
        <is>
          <t>EJEMPLO Coord. de calidad de Obstetricia</t>
        </is>
      </c>
      <c r="M90" s="9" t="n">
        <v>46037</v>
      </c>
      <c r="N90" s="8" t="inlineStr">
        <is>
          <t>Validado</t>
        </is>
      </c>
      <c r="O90" s="8" t="inlineStr">
        <is>
          <t>EJEMPLO Dirección de Escuela de Obstetricia</t>
        </is>
      </c>
      <c r="P90" s="9" t="n">
        <v>46044</v>
      </c>
      <c r="Q90" s="8" t="n">
        <v>1</v>
      </c>
      <c r="R90" s="8" t="n"/>
      <c r="S90" s="8" t="inlineStr">
        <is>
          <t>EJEMPLO</t>
        </is>
      </c>
      <c r="T90" s="8" t="n"/>
      <c r="U90" s="8" t="n"/>
      <c r="V90" s="11">
        <f>IF(C90="","",IFERROR(INDEX(Catalogo!$C$5:$C$129,MATCH(C90,Catalogo!$A$5:$A$129,0)),"Código no existe"))</f>
        <v/>
      </c>
      <c r="W90" s="11">
        <f>IF(C90="","",IFERROR(INDEX(Catalogo!$G$5:$G$129,MATCH(C90,Catalogo!$A$5:$A$129,0)),""))</f>
        <v/>
      </c>
      <c r="X90" s="12">
        <f>IF(C90="","",IF(ISNUMBER(F90),F90,IF(AND(ISNUMBER(D90),ISNUMBER(E90),E90&gt;0),D90/E90*IF(W90="%",100,1),IF(ISNUMBER(D90),D90,""))))</f>
        <v/>
      </c>
      <c r="Y90" s="11">
        <f>IF(C90="","",IF(A90="","Falta periodo",IF(COUNTIF(Listas!$A$2:$A$134,A90)=0,"Periodo no válido",IF(X90="","Falta valor",IF(I90="","Falta fuente: no se mostrará",IF(AND(J90="",K90=""),"Sin evidencia",IF(N90&lt;&gt;"Validado","Sin validar","OK")))))))</f>
        <v/>
      </c>
    </row>
    <row r="91">
      <c r="A91" s="8" t="inlineStr">
        <is>
          <t>2026-S1</t>
        </is>
      </c>
      <c r="B91" s="8" t="n"/>
      <c r="C91" s="8" t="inlineStr">
        <is>
          <t>ME01-I1</t>
        </is>
      </c>
      <c r="D91" s="8" t="n">
        <v>16</v>
      </c>
      <c r="E91" s="8" t="n">
        <v>85</v>
      </c>
      <c r="F91" s="8" t="n"/>
      <c r="G91" s="8" t="n"/>
      <c r="H91" s="8" t="n"/>
      <c r="I91" s="8" t="inlineStr">
        <is>
          <t>EJEMPLO Registro del proceso ME01, periodo 2026-S1</t>
        </is>
      </c>
      <c r="J91" s="8" t="inlineStr">
        <is>
          <t>EV41</t>
        </is>
      </c>
      <c r="K91" s="8" t="inlineStr">
        <is>
          <t>EJEMPLO_ME01-I1_2026-S1.pdf</t>
        </is>
      </c>
      <c r="L91" s="8" t="inlineStr">
        <is>
          <t>EJEMPLO Coord. de calidad de Obstetricia</t>
        </is>
      </c>
      <c r="M91" s="9" t="n">
        <v>46220</v>
      </c>
      <c r="N91" s="8" t="inlineStr">
        <is>
          <t>Validado</t>
        </is>
      </c>
      <c r="O91" s="8" t="inlineStr">
        <is>
          <t>EJEMPLO Dirección de Escuela de Obstetricia</t>
        </is>
      </c>
      <c r="P91" s="9" t="n">
        <v>46221</v>
      </c>
      <c r="Q91" s="8" t="n">
        <v>1</v>
      </c>
      <c r="R91" s="8" t="n"/>
      <c r="S91" s="8" t="inlineStr">
        <is>
          <t>EJEMPLO</t>
        </is>
      </c>
      <c r="T91" s="8" t="n"/>
      <c r="U91" s="8" t="n"/>
      <c r="V91" s="11">
        <f>IF(C91="","",IFERROR(INDEX(Catalogo!$C$5:$C$129,MATCH(C91,Catalogo!$A$5:$A$129,0)),"Código no existe"))</f>
        <v/>
      </c>
      <c r="W91" s="11">
        <f>IF(C91="","",IFERROR(INDEX(Catalogo!$G$5:$G$129,MATCH(C91,Catalogo!$A$5:$A$129,0)),""))</f>
        <v/>
      </c>
      <c r="X91" s="12">
        <f>IF(C91="","",IF(ISNUMBER(F91),F91,IF(AND(ISNUMBER(D91),ISNUMBER(E91),E91&gt;0),D91/E91*IF(W91="%",100,1),IF(ISNUMBER(D91),D91,""))))</f>
        <v/>
      </c>
      <c r="Y91" s="11">
        <f>IF(C91="","",IF(A91="","Falta periodo",IF(COUNTIF(Listas!$A$2:$A$134,A91)=0,"Periodo no válido",IF(X91="","Falta valor",IF(I91="","Falta fuente: no se mostrará",IF(AND(J91="",K91=""),"Sin evidencia",IF(N91&lt;&gt;"Validado","Sin validar","OK")))))))</f>
        <v/>
      </c>
    </row>
    <row r="92">
      <c r="A92" s="8" t="inlineStr">
        <is>
          <t>2024</t>
        </is>
      </c>
      <c r="B92" s="8" t="n"/>
      <c r="C92" s="8" t="inlineStr">
        <is>
          <t>ME01-I2</t>
        </is>
      </c>
      <c r="D92" s="8" t="n"/>
      <c r="E92" s="8" t="n"/>
      <c r="F92" s="8" t="n">
        <v>65.34999999999999</v>
      </c>
      <c r="G92" s="8" t="n"/>
      <c r="H92" s="8" t="n"/>
      <c r="I92" s="8" t="inlineStr">
        <is>
          <t>EJEMPLO Registro del proceso ME01, periodo 2024</t>
        </is>
      </c>
      <c r="J92" s="8" t="inlineStr">
        <is>
          <t>EV13</t>
        </is>
      </c>
      <c r="K92" s="8" t="inlineStr">
        <is>
          <t>EJEMPLO_ME01-I2_2024.pdf</t>
        </is>
      </c>
      <c r="L92" s="8" t="inlineStr">
        <is>
          <t>EJEMPLO Coord. de calidad de Obstetricia</t>
        </is>
      </c>
      <c r="M92" s="9" t="n">
        <v>45685</v>
      </c>
      <c r="N92" s="8" t="inlineStr">
        <is>
          <t>Validado</t>
        </is>
      </c>
      <c r="O92" s="8" t="inlineStr">
        <is>
          <t>EJEMPLO Dirección de Escuela de Obstetricia</t>
        </is>
      </c>
      <c r="P92" s="9" t="n">
        <v>45691</v>
      </c>
      <c r="Q92" s="8" t="n">
        <v>1</v>
      </c>
      <c r="R92" s="8" t="n"/>
      <c r="S92" s="8" t="inlineStr">
        <is>
          <t>EJEMPLO</t>
        </is>
      </c>
      <c r="T92" s="8" t="n"/>
      <c r="U92" s="8" t="n"/>
      <c r="V92" s="11">
        <f>IF(C92="","",IFERROR(INDEX(Catalogo!$C$5:$C$129,MATCH(C92,Catalogo!$A$5:$A$129,0)),"Código no existe"))</f>
        <v/>
      </c>
      <c r="W92" s="11">
        <f>IF(C92="","",IFERROR(INDEX(Catalogo!$G$5:$G$129,MATCH(C92,Catalogo!$A$5:$A$129,0)),""))</f>
        <v/>
      </c>
      <c r="X92" s="12">
        <f>IF(C92="","",IF(ISNUMBER(F92),F92,IF(AND(ISNUMBER(D92),ISNUMBER(E92),E92&gt;0),D92/E92*IF(W92="%",100,1),IF(ISNUMBER(D92),D92,""))))</f>
        <v/>
      </c>
      <c r="Y92" s="11">
        <f>IF(C92="","",IF(A92="","Falta periodo",IF(COUNTIF(Listas!$A$2:$A$134,A92)=0,"Periodo no válido",IF(X92="","Falta valor",IF(I92="","Falta fuente: no se mostrará",IF(AND(J92="",K92=""),"Sin evidencia",IF(N92&lt;&gt;"Validado","Sin validar","OK")))))))</f>
        <v/>
      </c>
    </row>
    <row r="93">
      <c r="A93" s="8" t="inlineStr">
        <is>
          <t>2025</t>
        </is>
      </c>
      <c r="B93" s="8" t="n"/>
      <c r="C93" s="8" t="inlineStr">
        <is>
          <t>ME01-I2</t>
        </is>
      </c>
      <c r="D93" s="8" t="n">
        <v>220</v>
      </c>
      <c r="E93" s="8" t="n">
        <v>320</v>
      </c>
      <c r="F93" s="8" t="n"/>
      <c r="G93" s="8" t="n"/>
      <c r="H93" s="8" t="n"/>
      <c r="I93" s="8" t="inlineStr">
        <is>
          <t>EJEMPLO Registro del proceso ME01, periodo 2025</t>
        </is>
      </c>
      <c r="J93" s="8" t="inlineStr">
        <is>
          <t>EV30</t>
        </is>
      </c>
      <c r="K93" s="8" t="inlineStr">
        <is>
          <t>EJEMPLO_ME01-I2_2025.pdf</t>
        </is>
      </c>
      <c r="L93" s="8" t="inlineStr">
        <is>
          <t>EJEMPLO Coord. de calidad de Obstetricia</t>
        </is>
      </c>
      <c r="M93" s="9" t="n">
        <v>46028</v>
      </c>
      <c r="N93" s="8" t="inlineStr">
        <is>
          <t>Observado</t>
        </is>
      </c>
      <c r="O93" s="8" t="n"/>
      <c r="P93" s="9" t="n"/>
      <c r="Q93" s="8" t="n">
        <v>1</v>
      </c>
      <c r="R93" s="8" t="n"/>
      <c r="S93" s="8" t="inlineStr">
        <is>
          <t>EJEMPLO</t>
        </is>
      </c>
      <c r="T93" s="8" t="n"/>
      <c r="U93" s="8" t="n"/>
      <c r="V93" s="11">
        <f>IF(C93="","",IFERROR(INDEX(Catalogo!$C$5:$C$129,MATCH(C93,Catalogo!$A$5:$A$129,0)),"Código no existe"))</f>
        <v/>
      </c>
      <c r="W93" s="11">
        <f>IF(C93="","",IFERROR(INDEX(Catalogo!$G$5:$G$129,MATCH(C93,Catalogo!$A$5:$A$129,0)),""))</f>
        <v/>
      </c>
      <c r="X93" s="12">
        <f>IF(C93="","",IF(ISNUMBER(F93),F93,IF(AND(ISNUMBER(D93),ISNUMBER(E93),E93&gt;0),D93/E93*IF(W93="%",100,1),IF(ISNUMBER(D93),D93,""))))</f>
        <v/>
      </c>
      <c r="Y93" s="11">
        <f>IF(C93="","",IF(A93="","Falta periodo",IF(COUNTIF(Listas!$A$2:$A$134,A93)=0,"Periodo no válido",IF(X93="","Falta valor",IF(I93="","Falta fuente: no se mostrará",IF(AND(J93="",K93=""),"Sin evidencia",IF(N93&lt;&gt;"Validado","Sin validar","OK")))))))</f>
        <v/>
      </c>
    </row>
    <row r="94">
      <c r="A94" s="8" t="inlineStr">
        <is>
          <t>2024</t>
        </is>
      </c>
      <c r="B94" s="8" t="n"/>
      <c r="C94" s="8" t="inlineStr">
        <is>
          <t>ME01-I3</t>
        </is>
      </c>
      <c r="D94" s="8" t="n">
        <v>189</v>
      </c>
      <c r="E94" s="8" t="n">
        <v>210</v>
      </c>
      <c r="F94" s="8" t="n"/>
      <c r="G94" s="8" t="n"/>
      <c r="H94" s="8" t="n"/>
      <c r="I94" s="8" t="inlineStr">
        <is>
          <t>EJEMPLO Registro del proceso ME01, periodo 2024</t>
        </is>
      </c>
      <c r="J94" s="8" t="inlineStr">
        <is>
          <t>EV44</t>
        </is>
      </c>
      <c r="K94" s="8" t="inlineStr">
        <is>
          <t>EJEMPLO_ME01-I3_2024.pdf</t>
        </is>
      </c>
      <c r="L94" s="8" t="inlineStr">
        <is>
          <t>EJEMPLO Coord. de calidad de Obstetricia</t>
        </is>
      </c>
      <c r="M94" s="9" t="n">
        <v>45684</v>
      </c>
      <c r="N94" s="8" t="inlineStr">
        <is>
          <t>Validado</t>
        </is>
      </c>
      <c r="O94" s="8" t="inlineStr">
        <is>
          <t>EJEMPLO Dirección de Escuela de Obstetricia</t>
        </is>
      </c>
      <c r="P94" s="9" t="n">
        <v>45690</v>
      </c>
      <c r="Q94" s="8" t="n">
        <v>1</v>
      </c>
      <c r="R94" s="8" t="n"/>
      <c r="S94" s="8" t="inlineStr">
        <is>
          <t>EJEMPLO</t>
        </is>
      </c>
      <c r="T94" s="8" t="n"/>
      <c r="U94" s="8" t="n"/>
      <c r="V94" s="11">
        <f>IF(C94="","",IFERROR(INDEX(Catalogo!$C$5:$C$129,MATCH(C94,Catalogo!$A$5:$A$129,0)),"Código no existe"))</f>
        <v/>
      </c>
      <c r="W94" s="11">
        <f>IF(C94="","",IFERROR(INDEX(Catalogo!$G$5:$G$129,MATCH(C94,Catalogo!$A$5:$A$129,0)),""))</f>
        <v/>
      </c>
      <c r="X94" s="12">
        <f>IF(C94="","",IF(ISNUMBER(F94),F94,IF(AND(ISNUMBER(D94),ISNUMBER(E94),E94&gt;0),D94/E94*IF(W94="%",100,1),IF(ISNUMBER(D94),D94,""))))</f>
        <v/>
      </c>
      <c r="Y94" s="11">
        <f>IF(C94="","",IF(A94="","Falta periodo",IF(COUNTIF(Listas!$A$2:$A$134,A94)=0,"Periodo no válido",IF(X94="","Falta valor",IF(I94="","Falta fuente: no se mostrará",IF(AND(J94="",K94=""),"Sin evidencia",IF(N94&lt;&gt;"Validado","Sin validar","OK")))))))</f>
        <v/>
      </c>
    </row>
    <row r="95">
      <c r="A95" s="8" t="inlineStr">
        <is>
          <t>2025</t>
        </is>
      </c>
      <c r="B95" s="8" t="n"/>
      <c r="C95" s="8" t="inlineStr">
        <is>
          <t>ME01-I3</t>
        </is>
      </c>
      <c r="D95" s="8" t="n">
        <v>147</v>
      </c>
      <c r="E95" s="8" t="n">
        <v>320</v>
      </c>
      <c r="F95" s="8" t="n"/>
      <c r="G95" s="8" t="n"/>
      <c r="H95" s="8" t="n"/>
      <c r="I95" s="8" t="inlineStr">
        <is>
          <t>EJEMPLO Registro del proceso ME01, periodo 2025</t>
        </is>
      </c>
      <c r="J95" s="8" t="inlineStr">
        <is>
          <t>EV35</t>
        </is>
      </c>
      <c r="K95" s="8" t="inlineStr">
        <is>
          <t>EJEMPLO_ME01-I3_2025.pdf</t>
        </is>
      </c>
      <c r="L95" s="8" t="inlineStr">
        <is>
          <t>EJEMPLO Coord. de calidad de Obstetricia</t>
        </is>
      </c>
      <c r="M95" s="9" t="n">
        <v>46045</v>
      </c>
      <c r="N95" s="8" t="inlineStr">
        <is>
          <t>Validado</t>
        </is>
      </c>
      <c r="O95" s="8" t="inlineStr">
        <is>
          <t>EJEMPLO Dirección de Escuela de Obstetricia</t>
        </is>
      </c>
      <c r="P95" s="9" t="n">
        <v>46046</v>
      </c>
      <c r="Q95" s="8" t="n">
        <v>1</v>
      </c>
      <c r="R95" s="8" t="n"/>
      <c r="S95" s="8" t="inlineStr">
        <is>
          <t>EJEMPLO</t>
        </is>
      </c>
      <c r="T95" s="8" t="n"/>
      <c r="U95" s="8" t="n"/>
      <c r="V95" s="11">
        <f>IF(C95="","",IFERROR(INDEX(Catalogo!$C$5:$C$129,MATCH(C95,Catalogo!$A$5:$A$129,0)),"Código no existe"))</f>
        <v/>
      </c>
      <c r="W95" s="11">
        <f>IF(C95="","",IFERROR(INDEX(Catalogo!$G$5:$G$129,MATCH(C95,Catalogo!$A$5:$A$129,0)),""))</f>
        <v/>
      </c>
      <c r="X95" s="12">
        <f>IF(C95="","",IF(ISNUMBER(F95),F95,IF(AND(ISNUMBER(D95),ISNUMBER(E95),E95&gt;0),D95/E95*IF(W95="%",100,1),IF(ISNUMBER(D95),D95,""))))</f>
        <v/>
      </c>
      <c r="Y95" s="11">
        <f>IF(C95="","",IF(A95="","Falta periodo",IF(COUNTIF(Listas!$A$2:$A$134,A95)=0,"Periodo no válido",IF(X95="","Falta valor",IF(I95="","Falta fuente: no se mostrará",IF(AND(J95="",K95=""),"Sin evidencia",IF(N95&lt;&gt;"Validado","Sin validar","OK")))))))</f>
        <v/>
      </c>
    </row>
    <row r="96">
      <c r="A96" s="8" t="inlineStr">
        <is>
          <t>2025-S2</t>
        </is>
      </c>
      <c r="B96" s="8" t="n"/>
      <c r="C96" s="8" t="inlineStr">
        <is>
          <t>ME03-I1</t>
        </is>
      </c>
      <c r="D96" s="8" t="n"/>
      <c r="E96" s="8" t="n"/>
      <c r="F96" s="8" t="n">
        <v>80.89</v>
      </c>
      <c r="G96" s="8" t="n"/>
      <c r="H96" s="8" t="n"/>
      <c r="I96" s="8" t="inlineStr">
        <is>
          <t>EJEMPLO Registro del proceso ME03, periodo 2025-S2</t>
        </is>
      </c>
      <c r="J96" s="8" t="n"/>
      <c r="K96" s="8" t="n"/>
      <c r="L96" s="8" t="inlineStr">
        <is>
          <t>EJEMPLO Coord. de calidad de Obstetricia</t>
        </is>
      </c>
      <c r="M96" s="9" t="n">
        <v>46049</v>
      </c>
      <c r="N96" s="8" t="inlineStr">
        <is>
          <t>Observado</t>
        </is>
      </c>
      <c r="O96" s="8" t="n"/>
      <c r="P96" s="9" t="n"/>
      <c r="Q96" s="8" t="n">
        <v>1</v>
      </c>
      <c r="R96" s="8" t="n"/>
      <c r="S96" s="8" t="inlineStr">
        <is>
          <t>EJEMPLO</t>
        </is>
      </c>
      <c r="T96" s="8" t="n"/>
      <c r="U96" s="8" t="n"/>
      <c r="V96" s="11">
        <f>IF(C96="","",IFERROR(INDEX(Catalogo!$C$5:$C$129,MATCH(C96,Catalogo!$A$5:$A$129,0)),"Código no existe"))</f>
        <v/>
      </c>
      <c r="W96" s="11">
        <f>IF(C96="","",IFERROR(INDEX(Catalogo!$G$5:$G$129,MATCH(C96,Catalogo!$A$5:$A$129,0)),""))</f>
        <v/>
      </c>
      <c r="X96" s="12">
        <f>IF(C96="","",IF(ISNUMBER(F96),F96,IF(AND(ISNUMBER(D96),ISNUMBER(E96),E96&gt;0),D96/E96*IF(W96="%",100,1),IF(ISNUMBER(D96),D96,""))))</f>
        <v/>
      </c>
      <c r="Y96" s="11">
        <f>IF(C96="","",IF(A96="","Falta periodo",IF(COUNTIF(Listas!$A$2:$A$134,A96)=0,"Periodo no válido",IF(X96="","Falta valor",IF(I96="","Falta fuente: no se mostrará",IF(AND(J96="",K96=""),"Sin evidencia",IF(N96&lt;&gt;"Validado","Sin validar","OK")))))))</f>
        <v/>
      </c>
    </row>
    <row r="97">
      <c r="A97" s="8" t="inlineStr">
        <is>
          <t>2026-S1</t>
        </is>
      </c>
      <c r="B97" s="8" t="n"/>
      <c r="C97" s="8" t="inlineStr">
        <is>
          <t>ME03-I1</t>
        </is>
      </c>
      <c r="D97" s="8" t="n">
        <v>136</v>
      </c>
      <c r="E97" s="8" t="n">
        <v>150</v>
      </c>
      <c r="F97" s="8" t="n"/>
      <c r="G97" s="8" t="n"/>
      <c r="H97" s="8" t="n"/>
      <c r="I97" s="8" t="inlineStr">
        <is>
          <t>EJEMPLO Registro del proceso ME03, periodo 2026-S1</t>
        </is>
      </c>
      <c r="J97" s="8" t="inlineStr">
        <is>
          <t>EV21</t>
        </is>
      </c>
      <c r="K97" s="8" t="inlineStr">
        <is>
          <t>EJEMPLO_ME03-I1_2026-S1.pdf</t>
        </is>
      </c>
      <c r="L97" s="8" t="inlineStr">
        <is>
          <t>EJEMPLO Coord. de calidad de Obstetricia</t>
        </is>
      </c>
      <c r="M97" s="9" t="n">
        <v>46215</v>
      </c>
      <c r="N97" s="8" t="inlineStr">
        <is>
          <t>Validado</t>
        </is>
      </c>
      <c r="O97" s="8" t="inlineStr">
        <is>
          <t>EJEMPLO Dirección de Escuela de Obstetricia</t>
        </is>
      </c>
      <c r="P97" s="9" t="n">
        <v>46221</v>
      </c>
      <c r="Q97" s="8" t="n">
        <v>1</v>
      </c>
      <c r="R97" s="8" t="n"/>
      <c r="S97" s="8" t="inlineStr">
        <is>
          <t>EJEMPLO</t>
        </is>
      </c>
      <c r="T97" s="8" t="n"/>
      <c r="U97" s="8" t="n"/>
      <c r="V97" s="11">
        <f>IF(C97="","",IFERROR(INDEX(Catalogo!$C$5:$C$129,MATCH(C97,Catalogo!$A$5:$A$129,0)),"Código no existe"))</f>
        <v/>
      </c>
      <c r="W97" s="11">
        <f>IF(C97="","",IFERROR(INDEX(Catalogo!$G$5:$G$129,MATCH(C97,Catalogo!$A$5:$A$129,0)),""))</f>
        <v/>
      </c>
      <c r="X97" s="12">
        <f>IF(C97="","",IF(ISNUMBER(F97),F97,IF(AND(ISNUMBER(D97),ISNUMBER(E97),E97&gt;0),D97/E97*IF(W97="%",100,1),IF(ISNUMBER(D97),D97,""))))</f>
        <v/>
      </c>
      <c r="Y97" s="11">
        <f>IF(C97="","",IF(A97="","Falta periodo",IF(COUNTIF(Listas!$A$2:$A$134,A97)=0,"Periodo no válido",IF(X97="","Falta valor",IF(I97="","Falta fuente: no se mostrará",IF(AND(J97="",K97=""),"Sin evidencia",IF(N97&lt;&gt;"Validado","Sin validar","OK")))))))</f>
        <v/>
      </c>
    </row>
    <row r="98">
      <c r="A98" s="8" t="inlineStr">
        <is>
          <t>2025</t>
        </is>
      </c>
      <c r="B98" s="8" t="n"/>
      <c r="C98" s="8" t="inlineStr">
        <is>
          <t>ID7</t>
        </is>
      </c>
      <c r="D98" s="8" t="n"/>
      <c r="E98" s="8" t="n"/>
      <c r="F98" s="8" t="n">
        <v>61</v>
      </c>
      <c r="G98" s="8" t="n"/>
      <c r="H98" s="8" t="n"/>
      <c r="I98" s="8" t="n"/>
      <c r="J98" s="8" t="n"/>
      <c r="K98" s="8" t="n"/>
      <c r="L98" s="8" t="inlineStr">
        <is>
          <t>EJEMPLO Coord. de calidad de Obstetricia</t>
        </is>
      </c>
      <c r="M98" s="9" t="n">
        <v>46266</v>
      </c>
      <c r="N98" s="8" t="inlineStr">
        <is>
          <t>Borrador</t>
        </is>
      </c>
      <c r="O98" s="8" t="n"/>
      <c r="P98" s="9" t="n"/>
      <c r="Q98" s="8" t="n">
        <v>1</v>
      </c>
      <c r="R98" s="8" t="inlineStr">
        <is>
          <t>EJEMPLO: fila sin fuente, no debe mostrarse</t>
        </is>
      </c>
      <c r="S98" s="8" t="inlineStr">
        <is>
          <t>EJEMPLO</t>
        </is>
      </c>
      <c r="T98" s="8" t="n"/>
      <c r="U98" s="8" t="n"/>
      <c r="V98" s="11">
        <f>IF(C98="","",IFERROR(INDEX(Catalogo!$C$5:$C$129,MATCH(C98,Catalogo!$A$5:$A$129,0)),"Código no existe"))</f>
        <v/>
      </c>
      <c r="W98" s="11">
        <f>IF(C98="","",IFERROR(INDEX(Catalogo!$G$5:$G$129,MATCH(C98,Catalogo!$A$5:$A$129,0)),""))</f>
        <v/>
      </c>
      <c r="X98" s="12">
        <f>IF(C98="","",IF(ISNUMBER(F98),F98,IF(AND(ISNUMBER(D98),ISNUMBER(E98),E98&gt;0),D98/E98*IF(W98="%",100,1),IF(ISNUMBER(D98),D98,""))))</f>
        <v/>
      </c>
      <c r="Y98" s="11">
        <f>IF(C98="","",IF(A98="","Falta periodo",IF(COUNTIF(Listas!$A$2:$A$134,A98)=0,"Periodo no válido",IF(X98="","Falta valor",IF(I98="","Falta fuente: no se mostrará",IF(AND(J98="",K98=""),"Sin evidencia",IF(N98&lt;&gt;"Validado","Sin validar","OK")))))))</f>
        <v/>
      </c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9" t="n"/>
      <c r="N99" s="8" t="n"/>
      <c r="O99" s="8" t="n"/>
      <c r="P99" s="9" t="n"/>
      <c r="Q99" s="8" t="n"/>
      <c r="R99" s="8" t="n"/>
      <c r="S99" s="8" t="n"/>
      <c r="T99" s="8" t="n"/>
      <c r="U99" s="8" t="n"/>
      <c r="V99" s="11">
        <f>IF(C99="","",IFERROR(INDEX(Catalogo!$C$5:$C$129,MATCH(C99,Catalogo!$A$5:$A$129,0)),"Código no existe"))</f>
        <v/>
      </c>
      <c r="W99" s="11">
        <f>IF(C99="","",IFERROR(INDEX(Catalogo!$G$5:$G$129,MATCH(C99,Catalogo!$A$5:$A$129,0)),""))</f>
        <v/>
      </c>
      <c r="X99" s="12">
        <f>IF(C99="","",IF(ISNUMBER(F99),F99,IF(AND(ISNUMBER(D99),ISNUMBER(E99),E99&gt;0),D99/E99*IF(W99="%",100,1),IF(ISNUMBER(D99),D99,""))))</f>
        <v/>
      </c>
      <c r="Y99" s="11">
        <f>IF(C99="","",IF(A99="","Falta periodo",IF(COUNTIF(Listas!$A$2:$A$134,A99)=0,"Periodo no válido",IF(X99="","Falta valor",IF(I99="","Falta fuente: no se mostrará",IF(AND(J99="",K99=""),"Sin evidencia",IF(N99&lt;&gt;"Validado","Sin validar","OK")))))))</f>
        <v/>
      </c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9" t="n"/>
      <c r="N100" s="8" t="n"/>
      <c r="O100" s="8" t="n"/>
      <c r="P100" s="9" t="n"/>
      <c r="Q100" s="8" t="n"/>
      <c r="R100" s="8" t="n"/>
      <c r="S100" s="8" t="n"/>
      <c r="T100" s="8" t="n"/>
      <c r="U100" s="8" t="n"/>
      <c r="V100" s="11">
        <f>IF(C100="","",IFERROR(INDEX(Catalogo!$C$5:$C$129,MATCH(C100,Catalogo!$A$5:$A$129,0)),"Código no existe"))</f>
        <v/>
      </c>
      <c r="W100" s="11">
        <f>IF(C100="","",IFERROR(INDEX(Catalogo!$G$5:$G$129,MATCH(C100,Catalogo!$A$5:$A$129,0)),""))</f>
        <v/>
      </c>
      <c r="X100" s="12">
        <f>IF(C100="","",IF(ISNUMBER(F100),F100,IF(AND(ISNUMBER(D100),ISNUMBER(E100),E100&gt;0),D100/E100*IF(W100="%",100,1),IF(ISNUMBER(D100),D100,""))))</f>
        <v/>
      </c>
      <c r="Y100" s="11">
        <f>IF(C100="","",IF(A100="","Falta periodo",IF(COUNTIF(Listas!$A$2:$A$134,A100)=0,"Periodo no válido",IF(X100="","Falta valor",IF(I100="","Falta fuente: no se mostrará",IF(AND(J100="",K100=""),"Sin evidencia",IF(N100&lt;&gt;"Validado","Sin validar","OK")))))))</f>
        <v/>
      </c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9" t="n"/>
      <c r="N101" s="8" t="n"/>
      <c r="O101" s="8" t="n"/>
      <c r="P101" s="9" t="n"/>
      <c r="Q101" s="8" t="n"/>
      <c r="R101" s="8" t="n"/>
      <c r="S101" s="8" t="n"/>
      <c r="T101" s="8" t="n"/>
      <c r="U101" s="8" t="n"/>
      <c r="V101" s="11">
        <f>IF(C101="","",IFERROR(INDEX(Catalogo!$C$5:$C$129,MATCH(C101,Catalogo!$A$5:$A$129,0)),"Código no existe"))</f>
        <v/>
      </c>
      <c r="W101" s="11">
        <f>IF(C101="","",IFERROR(INDEX(Catalogo!$G$5:$G$129,MATCH(C101,Catalogo!$A$5:$A$129,0)),""))</f>
        <v/>
      </c>
      <c r="X101" s="12">
        <f>IF(C101="","",IF(ISNUMBER(F101),F101,IF(AND(ISNUMBER(D101),ISNUMBER(E101),E101&gt;0),D101/E101*IF(W101="%",100,1),IF(ISNUMBER(D101),D101,""))))</f>
        <v/>
      </c>
      <c r="Y101" s="11">
        <f>IF(C101="","",IF(A101="","Falta periodo",IF(COUNTIF(Listas!$A$2:$A$134,A101)=0,"Periodo no válido",IF(X101="","Falta valor",IF(I101="","Falta fuente: no se mostrará",IF(AND(J101="",K101=""),"Sin evidencia",IF(N101&lt;&gt;"Validado","Sin validar","OK")))))))</f>
        <v/>
      </c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9" t="n"/>
      <c r="N102" s="8" t="n"/>
      <c r="O102" s="8" t="n"/>
      <c r="P102" s="9" t="n"/>
      <c r="Q102" s="8" t="n"/>
      <c r="R102" s="8" t="n"/>
      <c r="S102" s="8" t="n"/>
      <c r="T102" s="8" t="n"/>
      <c r="U102" s="8" t="n"/>
      <c r="V102" s="11">
        <f>IF(C102="","",IFERROR(INDEX(Catalogo!$C$5:$C$129,MATCH(C102,Catalogo!$A$5:$A$129,0)),"Código no existe"))</f>
        <v/>
      </c>
      <c r="W102" s="11">
        <f>IF(C102="","",IFERROR(INDEX(Catalogo!$G$5:$G$129,MATCH(C102,Catalogo!$A$5:$A$129,0)),""))</f>
        <v/>
      </c>
      <c r="X102" s="12">
        <f>IF(C102="","",IF(ISNUMBER(F102),F102,IF(AND(ISNUMBER(D102),ISNUMBER(E102),E102&gt;0),D102/E102*IF(W102="%",100,1),IF(ISNUMBER(D102),D102,""))))</f>
        <v/>
      </c>
      <c r="Y102" s="11">
        <f>IF(C102="","",IF(A102="","Falta periodo",IF(COUNTIF(Listas!$A$2:$A$134,A102)=0,"Periodo no válido",IF(X102="","Falta valor",IF(I102="","Falta fuente: no se mostrará",IF(AND(J102="",K102=""),"Sin evidencia",IF(N102&lt;&gt;"Validado","Sin validar","OK")))))))</f>
        <v/>
      </c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9" t="n"/>
      <c r="N103" s="8" t="n"/>
      <c r="O103" s="8" t="n"/>
      <c r="P103" s="9" t="n"/>
      <c r="Q103" s="8" t="n"/>
      <c r="R103" s="8" t="n"/>
      <c r="S103" s="8" t="n"/>
      <c r="T103" s="8" t="n"/>
      <c r="U103" s="8" t="n"/>
      <c r="V103" s="11">
        <f>IF(C103="","",IFERROR(INDEX(Catalogo!$C$5:$C$129,MATCH(C103,Catalogo!$A$5:$A$129,0)),"Código no existe"))</f>
        <v/>
      </c>
      <c r="W103" s="11">
        <f>IF(C103="","",IFERROR(INDEX(Catalogo!$G$5:$G$129,MATCH(C103,Catalogo!$A$5:$A$129,0)),""))</f>
        <v/>
      </c>
      <c r="X103" s="12">
        <f>IF(C103="","",IF(ISNUMBER(F103),F103,IF(AND(ISNUMBER(D103),ISNUMBER(E103),E103&gt;0),D103/E103*IF(W103="%",100,1),IF(ISNUMBER(D103),D103,""))))</f>
        <v/>
      </c>
      <c r="Y103" s="11">
        <f>IF(C103="","",IF(A103="","Falta periodo",IF(COUNTIF(Listas!$A$2:$A$134,A103)=0,"Periodo no válido",IF(X103="","Falta valor",IF(I103="","Falta fuente: no se mostrará",IF(AND(J103="",K103=""),"Sin evidencia",IF(N103&lt;&gt;"Validado","Sin validar","OK")))))))</f>
        <v/>
      </c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9" t="n"/>
      <c r="N104" s="8" t="n"/>
      <c r="O104" s="8" t="n"/>
      <c r="P104" s="9" t="n"/>
      <c r="Q104" s="8" t="n"/>
      <c r="R104" s="8" t="n"/>
      <c r="S104" s="8" t="n"/>
      <c r="T104" s="8" t="n"/>
      <c r="U104" s="8" t="n"/>
      <c r="V104" s="11">
        <f>IF(C104="","",IFERROR(INDEX(Catalogo!$C$5:$C$129,MATCH(C104,Catalogo!$A$5:$A$129,0)),"Código no existe"))</f>
        <v/>
      </c>
      <c r="W104" s="11">
        <f>IF(C104="","",IFERROR(INDEX(Catalogo!$G$5:$G$129,MATCH(C104,Catalogo!$A$5:$A$129,0)),""))</f>
        <v/>
      </c>
      <c r="X104" s="12">
        <f>IF(C104="","",IF(ISNUMBER(F104),F104,IF(AND(ISNUMBER(D104),ISNUMBER(E104),E104&gt;0),D104/E104*IF(W104="%",100,1),IF(ISNUMBER(D104),D104,""))))</f>
        <v/>
      </c>
      <c r="Y104" s="11">
        <f>IF(C104="","",IF(A104="","Falta periodo",IF(COUNTIF(Listas!$A$2:$A$134,A104)=0,"Periodo no válido",IF(X104="","Falta valor",IF(I104="","Falta fuente: no se mostrará",IF(AND(J104="",K104=""),"Sin evidencia",IF(N104&lt;&gt;"Validado","Sin validar","OK")))))))</f>
        <v/>
      </c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9" t="n"/>
      <c r="N105" s="8" t="n"/>
      <c r="O105" s="8" t="n"/>
      <c r="P105" s="9" t="n"/>
      <c r="Q105" s="8" t="n"/>
      <c r="R105" s="8" t="n"/>
      <c r="S105" s="8" t="n"/>
      <c r="T105" s="8" t="n"/>
      <c r="U105" s="8" t="n"/>
      <c r="V105" s="11">
        <f>IF(C105="","",IFERROR(INDEX(Catalogo!$C$5:$C$129,MATCH(C105,Catalogo!$A$5:$A$129,0)),"Código no existe"))</f>
        <v/>
      </c>
      <c r="W105" s="11">
        <f>IF(C105="","",IFERROR(INDEX(Catalogo!$G$5:$G$129,MATCH(C105,Catalogo!$A$5:$A$129,0)),""))</f>
        <v/>
      </c>
      <c r="X105" s="12">
        <f>IF(C105="","",IF(ISNUMBER(F105),F105,IF(AND(ISNUMBER(D105),ISNUMBER(E105),E105&gt;0),D105/E105*IF(W105="%",100,1),IF(ISNUMBER(D105),D105,""))))</f>
        <v/>
      </c>
      <c r="Y105" s="11">
        <f>IF(C105="","",IF(A105="","Falta periodo",IF(COUNTIF(Listas!$A$2:$A$134,A105)=0,"Periodo no válido",IF(X105="","Falta valor",IF(I105="","Falta fuente: no se mostrará",IF(AND(J105="",K105=""),"Sin evidencia",IF(N105&lt;&gt;"Validado","Sin validar","OK")))))))</f>
        <v/>
      </c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9" t="n"/>
      <c r="N106" s="8" t="n"/>
      <c r="O106" s="8" t="n"/>
      <c r="P106" s="9" t="n"/>
      <c r="Q106" s="8" t="n"/>
      <c r="R106" s="8" t="n"/>
      <c r="S106" s="8" t="n"/>
      <c r="T106" s="8" t="n"/>
      <c r="U106" s="8" t="n"/>
      <c r="V106" s="11">
        <f>IF(C106="","",IFERROR(INDEX(Catalogo!$C$5:$C$129,MATCH(C106,Catalogo!$A$5:$A$129,0)),"Código no existe"))</f>
        <v/>
      </c>
      <c r="W106" s="11">
        <f>IF(C106="","",IFERROR(INDEX(Catalogo!$G$5:$G$129,MATCH(C106,Catalogo!$A$5:$A$129,0)),""))</f>
        <v/>
      </c>
      <c r="X106" s="12">
        <f>IF(C106="","",IF(ISNUMBER(F106),F106,IF(AND(ISNUMBER(D106),ISNUMBER(E106),E106&gt;0),D106/E106*IF(W106="%",100,1),IF(ISNUMBER(D106),D106,""))))</f>
        <v/>
      </c>
      <c r="Y106" s="11">
        <f>IF(C106="","",IF(A106="","Falta periodo",IF(COUNTIF(Listas!$A$2:$A$134,A106)=0,"Periodo no válido",IF(X106="","Falta valor",IF(I106="","Falta fuente: no se mostrará",IF(AND(J106="",K106=""),"Sin evidencia",IF(N106&lt;&gt;"Validado","Sin validar","OK")))))))</f>
        <v/>
      </c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9" t="n"/>
      <c r="N107" s="8" t="n"/>
      <c r="O107" s="8" t="n"/>
      <c r="P107" s="9" t="n"/>
      <c r="Q107" s="8" t="n"/>
      <c r="R107" s="8" t="n"/>
      <c r="S107" s="8" t="n"/>
      <c r="T107" s="8" t="n"/>
      <c r="U107" s="8" t="n"/>
      <c r="V107" s="11">
        <f>IF(C107="","",IFERROR(INDEX(Catalogo!$C$5:$C$129,MATCH(C107,Catalogo!$A$5:$A$129,0)),"Código no existe"))</f>
        <v/>
      </c>
      <c r="W107" s="11">
        <f>IF(C107="","",IFERROR(INDEX(Catalogo!$G$5:$G$129,MATCH(C107,Catalogo!$A$5:$A$129,0)),""))</f>
        <v/>
      </c>
      <c r="X107" s="12">
        <f>IF(C107="","",IF(ISNUMBER(F107),F107,IF(AND(ISNUMBER(D107),ISNUMBER(E107),E107&gt;0),D107/E107*IF(W107="%",100,1),IF(ISNUMBER(D107),D107,""))))</f>
        <v/>
      </c>
      <c r="Y107" s="11">
        <f>IF(C107="","",IF(A107="","Falta periodo",IF(COUNTIF(Listas!$A$2:$A$134,A107)=0,"Periodo no válido",IF(X107="","Falta valor",IF(I107="","Falta fuente: no se mostrará",IF(AND(J107="",K107=""),"Sin evidencia",IF(N107&lt;&gt;"Validado","Sin validar","OK")))))))</f>
        <v/>
      </c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9" t="n"/>
      <c r="N108" s="8" t="n"/>
      <c r="O108" s="8" t="n"/>
      <c r="P108" s="9" t="n"/>
      <c r="Q108" s="8" t="n"/>
      <c r="R108" s="8" t="n"/>
      <c r="S108" s="8" t="n"/>
      <c r="T108" s="8" t="n"/>
      <c r="U108" s="8" t="n"/>
      <c r="V108" s="11">
        <f>IF(C108="","",IFERROR(INDEX(Catalogo!$C$5:$C$129,MATCH(C108,Catalogo!$A$5:$A$129,0)),"Código no existe"))</f>
        <v/>
      </c>
      <c r="W108" s="11">
        <f>IF(C108="","",IFERROR(INDEX(Catalogo!$G$5:$G$129,MATCH(C108,Catalogo!$A$5:$A$129,0)),""))</f>
        <v/>
      </c>
      <c r="X108" s="12">
        <f>IF(C108="","",IF(ISNUMBER(F108),F108,IF(AND(ISNUMBER(D108),ISNUMBER(E108),E108&gt;0),D108/E108*IF(W108="%",100,1),IF(ISNUMBER(D108),D108,""))))</f>
        <v/>
      </c>
      <c r="Y108" s="11">
        <f>IF(C108="","",IF(A108="","Falta periodo",IF(COUNTIF(Listas!$A$2:$A$134,A108)=0,"Periodo no válido",IF(X108="","Falta valor",IF(I108="","Falta fuente: no se mostrará",IF(AND(J108="",K108=""),"Sin evidencia",IF(N108&lt;&gt;"Validado","Sin validar","OK")))))))</f>
        <v/>
      </c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9" t="n"/>
      <c r="N109" s="8" t="n"/>
      <c r="O109" s="8" t="n"/>
      <c r="P109" s="9" t="n"/>
      <c r="Q109" s="8" t="n"/>
      <c r="R109" s="8" t="n"/>
      <c r="S109" s="8" t="n"/>
      <c r="T109" s="8" t="n"/>
      <c r="U109" s="8" t="n"/>
      <c r="V109" s="11">
        <f>IF(C109="","",IFERROR(INDEX(Catalogo!$C$5:$C$129,MATCH(C109,Catalogo!$A$5:$A$129,0)),"Código no existe"))</f>
        <v/>
      </c>
      <c r="W109" s="11">
        <f>IF(C109="","",IFERROR(INDEX(Catalogo!$G$5:$G$129,MATCH(C109,Catalogo!$A$5:$A$129,0)),""))</f>
        <v/>
      </c>
      <c r="X109" s="12">
        <f>IF(C109="","",IF(ISNUMBER(F109),F109,IF(AND(ISNUMBER(D109),ISNUMBER(E109),E109&gt;0),D109/E109*IF(W109="%",100,1),IF(ISNUMBER(D109),D109,""))))</f>
        <v/>
      </c>
      <c r="Y109" s="11">
        <f>IF(C109="","",IF(A109="","Falta periodo",IF(COUNTIF(Listas!$A$2:$A$134,A109)=0,"Periodo no válido",IF(X109="","Falta valor",IF(I109="","Falta fuente: no se mostrará",IF(AND(J109="",K109=""),"Sin evidencia",IF(N109&lt;&gt;"Validado","Sin validar","OK")))))))</f>
        <v/>
      </c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9" t="n"/>
      <c r="N110" s="8" t="n"/>
      <c r="O110" s="8" t="n"/>
      <c r="P110" s="9" t="n"/>
      <c r="Q110" s="8" t="n"/>
      <c r="R110" s="8" t="n"/>
      <c r="S110" s="8" t="n"/>
      <c r="T110" s="8" t="n"/>
      <c r="U110" s="8" t="n"/>
      <c r="V110" s="11">
        <f>IF(C110="","",IFERROR(INDEX(Catalogo!$C$5:$C$129,MATCH(C110,Catalogo!$A$5:$A$129,0)),"Código no existe"))</f>
        <v/>
      </c>
      <c r="W110" s="11">
        <f>IF(C110="","",IFERROR(INDEX(Catalogo!$G$5:$G$129,MATCH(C110,Catalogo!$A$5:$A$129,0)),""))</f>
        <v/>
      </c>
      <c r="X110" s="12">
        <f>IF(C110="","",IF(ISNUMBER(F110),F110,IF(AND(ISNUMBER(D110),ISNUMBER(E110),E110&gt;0),D110/E110*IF(W110="%",100,1),IF(ISNUMBER(D110),D110,""))))</f>
        <v/>
      </c>
      <c r="Y110" s="11">
        <f>IF(C110="","",IF(A110="","Falta periodo",IF(COUNTIF(Listas!$A$2:$A$134,A110)=0,"Periodo no válido",IF(X110="","Falta valor",IF(I110="","Falta fuente: no se mostrará",IF(AND(J110="",K110=""),"Sin evidencia",IF(N110&lt;&gt;"Validado","Sin validar","OK")))))))</f>
        <v/>
      </c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9" t="n"/>
      <c r="N111" s="8" t="n"/>
      <c r="O111" s="8" t="n"/>
      <c r="P111" s="9" t="n"/>
      <c r="Q111" s="8" t="n"/>
      <c r="R111" s="8" t="n"/>
      <c r="S111" s="8" t="n"/>
      <c r="T111" s="8" t="n"/>
      <c r="U111" s="8" t="n"/>
      <c r="V111" s="11">
        <f>IF(C111="","",IFERROR(INDEX(Catalogo!$C$5:$C$129,MATCH(C111,Catalogo!$A$5:$A$129,0)),"Código no existe"))</f>
        <v/>
      </c>
      <c r="W111" s="11">
        <f>IF(C111="","",IFERROR(INDEX(Catalogo!$G$5:$G$129,MATCH(C111,Catalogo!$A$5:$A$129,0)),""))</f>
        <v/>
      </c>
      <c r="X111" s="12">
        <f>IF(C111="","",IF(ISNUMBER(F111),F111,IF(AND(ISNUMBER(D111),ISNUMBER(E111),E111&gt;0),D111/E111*IF(W111="%",100,1),IF(ISNUMBER(D111),D111,""))))</f>
        <v/>
      </c>
      <c r="Y111" s="11">
        <f>IF(C111="","",IF(A111="","Falta periodo",IF(COUNTIF(Listas!$A$2:$A$134,A111)=0,"Periodo no válido",IF(X111="","Falta valor",IF(I111="","Falta fuente: no se mostrará",IF(AND(J111="",K111=""),"Sin evidencia",IF(N111&lt;&gt;"Validado","Sin validar","OK")))))))</f>
        <v/>
      </c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9" t="n"/>
      <c r="N112" s="8" t="n"/>
      <c r="O112" s="8" t="n"/>
      <c r="P112" s="9" t="n"/>
      <c r="Q112" s="8" t="n"/>
      <c r="R112" s="8" t="n"/>
      <c r="S112" s="8" t="n"/>
      <c r="T112" s="8" t="n"/>
      <c r="U112" s="8" t="n"/>
      <c r="V112" s="11">
        <f>IF(C112="","",IFERROR(INDEX(Catalogo!$C$5:$C$129,MATCH(C112,Catalogo!$A$5:$A$129,0)),"Código no existe"))</f>
        <v/>
      </c>
      <c r="W112" s="11">
        <f>IF(C112="","",IFERROR(INDEX(Catalogo!$G$5:$G$129,MATCH(C112,Catalogo!$A$5:$A$129,0)),""))</f>
        <v/>
      </c>
      <c r="X112" s="12">
        <f>IF(C112="","",IF(ISNUMBER(F112),F112,IF(AND(ISNUMBER(D112),ISNUMBER(E112),E112&gt;0),D112/E112*IF(W112="%",100,1),IF(ISNUMBER(D112),D112,""))))</f>
        <v/>
      </c>
      <c r="Y112" s="11">
        <f>IF(C112="","",IF(A112="","Falta periodo",IF(COUNTIF(Listas!$A$2:$A$134,A112)=0,"Periodo no válido",IF(X112="","Falta valor",IF(I112="","Falta fuente: no se mostrará",IF(AND(J112="",K112=""),"Sin evidencia",IF(N112&lt;&gt;"Validado","Sin validar","OK")))))))</f>
        <v/>
      </c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9" t="n"/>
      <c r="N113" s="8" t="n"/>
      <c r="O113" s="8" t="n"/>
      <c r="P113" s="9" t="n"/>
      <c r="Q113" s="8" t="n"/>
      <c r="R113" s="8" t="n"/>
      <c r="S113" s="8" t="n"/>
      <c r="T113" s="8" t="n"/>
      <c r="U113" s="8" t="n"/>
      <c r="V113" s="11">
        <f>IF(C113="","",IFERROR(INDEX(Catalogo!$C$5:$C$129,MATCH(C113,Catalogo!$A$5:$A$129,0)),"Código no existe"))</f>
        <v/>
      </c>
      <c r="W113" s="11">
        <f>IF(C113="","",IFERROR(INDEX(Catalogo!$G$5:$G$129,MATCH(C113,Catalogo!$A$5:$A$129,0)),""))</f>
        <v/>
      </c>
      <c r="X113" s="12">
        <f>IF(C113="","",IF(ISNUMBER(F113),F113,IF(AND(ISNUMBER(D113),ISNUMBER(E113),E113&gt;0),D113/E113*IF(W113="%",100,1),IF(ISNUMBER(D113),D113,""))))</f>
        <v/>
      </c>
      <c r="Y113" s="11">
        <f>IF(C113="","",IF(A113="","Falta periodo",IF(COUNTIF(Listas!$A$2:$A$134,A113)=0,"Periodo no válido",IF(X113="","Falta valor",IF(I113="","Falta fuente: no se mostrará",IF(AND(J113="",K113=""),"Sin evidencia",IF(N113&lt;&gt;"Validado","Sin validar","OK")))))))</f>
        <v/>
      </c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9" t="n"/>
      <c r="N114" s="8" t="n"/>
      <c r="O114" s="8" t="n"/>
      <c r="P114" s="9" t="n"/>
      <c r="Q114" s="8" t="n"/>
      <c r="R114" s="8" t="n"/>
      <c r="S114" s="8" t="n"/>
      <c r="T114" s="8" t="n"/>
      <c r="U114" s="8" t="n"/>
      <c r="V114" s="11">
        <f>IF(C114="","",IFERROR(INDEX(Catalogo!$C$5:$C$129,MATCH(C114,Catalogo!$A$5:$A$129,0)),"Código no existe"))</f>
        <v/>
      </c>
      <c r="W114" s="11">
        <f>IF(C114="","",IFERROR(INDEX(Catalogo!$G$5:$G$129,MATCH(C114,Catalogo!$A$5:$A$129,0)),""))</f>
        <v/>
      </c>
      <c r="X114" s="12">
        <f>IF(C114="","",IF(ISNUMBER(F114),F114,IF(AND(ISNUMBER(D114),ISNUMBER(E114),E114&gt;0),D114/E114*IF(W114="%",100,1),IF(ISNUMBER(D114),D114,""))))</f>
        <v/>
      </c>
      <c r="Y114" s="11">
        <f>IF(C114="","",IF(A114="","Falta periodo",IF(COUNTIF(Listas!$A$2:$A$134,A114)=0,"Periodo no válido",IF(X114="","Falta valor",IF(I114="","Falta fuente: no se mostrará",IF(AND(J114="",K114=""),"Sin evidencia",IF(N114&lt;&gt;"Validado","Sin validar","OK")))))))</f>
        <v/>
      </c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9" t="n"/>
      <c r="N115" s="8" t="n"/>
      <c r="O115" s="8" t="n"/>
      <c r="P115" s="9" t="n"/>
      <c r="Q115" s="8" t="n"/>
      <c r="R115" s="8" t="n"/>
      <c r="S115" s="8" t="n"/>
      <c r="T115" s="8" t="n"/>
      <c r="U115" s="8" t="n"/>
      <c r="V115" s="11">
        <f>IF(C115="","",IFERROR(INDEX(Catalogo!$C$5:$C$129,MATCH(C115,Catalogo!$A$5:$A$129,0)),"Código no existe"))</f>
        <v/>
      </c>
      <c r="W115" s="11">
        <f>IF(C115="","",IFERROR(INDEX(Catalogo!$G$5:$G$129,MATCH(C115,Catalogo!$A$5:$A$129,0)),""))</f>
        <v/>
      </c>
      <c r="X115" s="12">
        <f>IF(C115="","",IF(ISNUMBER(F115),F115,IF(AND(ISNUMBER(D115),ISNUMBER(E115),E115&gt;0),D115/E115*IF(W115="%",100,1),IF(ISNUMBER(D115),D115,""))))</f>
        <v/>
      </c>
      <c r="Y115" s="11">
        <f>IF(C115="","",IF(A115="","Falta periodo",IF(COUNTIF(Listas!$A$2:$A$134,A115)=0,"Periodo no válido",IF(X115="","Falta valor",IF(I115="","Falta fuente: no se mostrará",IF(AND(J115="",K115=""),"Sin evidencia",IF(N115&lt;&gt;"Validado","Sin validar","OK")))))))</f>
        <v/>
      </c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9" t="n"/>
      <c r="N116" s="8" t="n"/>
      <c r="O116" s="8" t="n"/>
      <c r="P116" s="9" t="n"/>
      <c r="Q116" s="8" t="n"/>
      <c r="R116" s="8" t="n"/>
      <c r="S116" s="8" t="n"/>
      <c r="T116" s="8" t="n"/>
      <c r="U116" s="8" t="n"/>
      <c r="V116" s="11">
        <f>IF(C116="","",IFERROR(INDEX(Catalogo!$C$5:$C$129,MATCH(C116,Catalogo!$A$5:$A$129,0)),"Código no existe"))</f>
        <v/>
      </c>
      <c r="W116" s="11">
        <f>IF(C116="","",IFERROR(INDEX(Catalogo!$G$5:$G$129,MATCH(C116,Catalogo!$A$5:$A$129,0)),""))</f>
        <v/>
      </c>
      <c r="X116" s="12">
        <f>IF(C116="","",IF(ISNUMBER(F116),F116,IF(AND(ISNUMBER(D116),ISNUMBER(E116),E116&gt;0),D116/E116*IF(W116="%",100,1),IF(ISNUMBER(D116),D116,""))))</f>
        <v/>
      </c>
      <c r="Y116" s="11">
        <f>IF(C116="","",IF(A116="","Falta periodo",IF(COUNTIF(Listas!$A$2:$A$134,A116)=0,"Periodo no válido",IF(X116="","Falta valor",IF(I116="","Falta fuente: no se mostrará",IF(AND(J116="",K116=""),"Sin evidencia",IF(N116&lt;&gt;"Validado","Sin validar","OK")))))))</f>
        <v/>
      </c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9" t="n"/>
      <c r="N117" s="8" t="n"/>
      <c r="O117" s="8" t="n"/>
      <c r="P117" s="9" t="n"/>
      <c r="Q117" s="8" t="n"/>
      <c r="R117" s="8" t="n"/>
      <c r="S117" s="8" t="n"/>
      <c r="T117" s="8" t="n"/>
      <c r="U117" s="8" t="n"/>
      <c r="V117" s="11">
        <f>IF(C117="","",IFERROR(INDEX(Catalogo!$C$5:$C$129,MATCH(C117,Catalogo!$A$5:$A$129,0)),"Código no existe"))</f>
        <v/>
      </c>
      <c r="W117" s="11">
        <f>IF(C117="","",IFERROR(INDEX(Catalogo!$G$5:$G$129,MATCH(C117,Catalogo!$A$5:$A$129,0)),""))</f>
        <v/>
      </c>
      <c r="X117" s="12">
        <f>IF(C117="","",IF(ISNUMBER(F117),F117,IF(AND(ISNUMBER(D117),ISNUMBER(E117),E117&gt;0),D117/E117*IF(W117="%",100,1),IF(ISNUMBER(D117),D117,""))))</f>
        <v/>
      </c>
      <c r="Y117" s="11">
        <f>IF(C117="","",IF(A117="","Falta periodo",IF(COUNTIF(Listas!$A$2:$A$134,A117)=0,"Periodo no válido",IF(X117="","Falta valor",IF(I117="","Falta fuente: no se mostrará",IF(AND(J117="",K117=""),"Sin evidencia",IF(N117&lt;&gt;"Validado","Sin validar","OK")))))))</f>
        <v/>
      </c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9" t="n"/>
      <c r="N118" s="8" t="n"/>
      <c r="O118" s="8" t="n"/>
      <c r="P118" s="9" t="n"/>
      <c r="Q118" s="8" t="n"/>
      <c r="R118" s="8" t="n"/>
      <c r="S118" s="8" t="n"/>
      <c r="T118" s="8" t="n"/>
      <c r="U118" s="8" t="n"/>
      <c r="V118" s="11">
        <f>IF(C118="","",IFERROR(INDEX(Catalogo!$C$5:$C$129,MATCH(C118,Catalogo!$A$5:$A$129,0)),"Código no existe"))</f>
        <v/>
      </c>
      <c r="W118" s="11">
        <f>IF(C118="","",IFERROR(INDEX(Catalogo!$G$5:$G$129,MATCH(C118,Catalogo!$A$5:$A$129,0)),""))</f>
        <v/>
      </c>
      <c r="X118" s="12">
        <f>IF(C118="","",IF(ISNUMBER(F118),F118,IF(AND(ISNUMBER(D118),ISNUMBER(E118),E118&gt;0),D118/E118*IF(W118="%",100,1),IF(ISNUMBER(D118),D118,""))))</f>
        <v/>
      </c>
      <c r="Y118" s="11">
        <f>IF(C118="","",IF(A118="","Falta periodo",IF(COUNTIF(Listas!$A$2:$A$134,A118)=0,"Periodo no válido",IF(X118="","Falta valor",IF(I118="","Falta fuente: no se mostrará",IF(AND(J118="",K118=""),"Sin evidencia",IF(N118&lt;&gt;"Validado","Sin validar","OK")))))))</f>
        <v/>
      </c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9" t="n"/>
      <c r="N119" s="8" t="n"/>
      <c r="O119" s="8" t="n"/>
      <c r="P119" s="9" t="n"/>
      <c r="Q119" s="8" t="n"/>
      <c r="R119" s="8" t="n"/>
      <c r="S119" s="8" t="n"/>
      <c r="T119" s="8" t="n"/>
      <c r="U119" s="8" t="n"/>
      <c r="V119" s="11">
        <f>IF(C119="","",IFERROR(INDEX(Catalogo!$C$5:$C$129,MATCH(C119,Catalogo!$A$5:$A$129,0)),"Código no existe"))</f>
        <v/>
      </c>
      <c r="W119" s="11">
        <f>IF(C119="","",IFERROR(INDEX(Catalogo!$G$5:$G$129,MATCH(C119,Catalogo!$A$5:$A$129,0)),""))</f>
        <v/>
      </c>
      <c r="X119" s="12">
        <f>IF(C119="","",IF(ISNUMBER(F119),F119,IF(AND(ISNUMBER(D119),ISNUMBER(E119),E119&gt;0),D119/E119*IF(W119="%",100,1),IF(ISNUMBER(D119),D119,""))))</f>
        <v/>
      </c>
      <c r="Y119" s="11">
        <f>IF(C119="","",IF(A119="","Falta periodo",IF(COUNTIF(Listas!$A$2:$A$134,A119)=0,"Periodo no válido",IF(X119="","Falta valor",IF(I119="","Falta fuente: no se mostrará",IF(AND(J119="",K119=""),"Sin evidencia",IF(N119&lt;&gt;"Validado","Sin validar","OK")))))))</f>
        <v/>
      </c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9" t="n"/>
      <c r="N120" s="8" t="n"/>
      <c r="O120" s="8" t="n"/>
      <c r="P120" s="9" t="n"/>
      <c r="Q120" s="8" t="n"/>
      <c r="R120" s="8" t="n"/>
      <c r="S120" s="8" t="n"/>
      <c r="T120" s="8" t="n"/>
      <c r="U120" s="8" t="n"/>
      <c r="V120" s="11">
        <f>IF(C120="","",IFERROR(INDEX(Catalogo!$C$5:$C$129,MATCH(C120,Catalogo!$A$5:$A$129,0)),"Código no existe"))</f>
        <v/>
      </c>
      <c r="W120" s="11">
        <f>IF(C120="","",IFERROR(INDEX(Catalogo!$G$5:$G$129,MATCH(C120,Catalogo!$A$5:$A$129,0)),""))</f>
        <v/>
      </c>
      <c r="X120" s="12">
        <f>IF(C120="","",IF(ISNUMBER(F120),F120,IF(AND(ISNUMBER(D120),ISNUMBER(E120),E120&gt;0),D120/E120*IF(W120="%",100,1),IF(ISNUMBER(D120),D120,""))))</f>
        <v/>
      </c>
      <c r="Y120" s="11">
        <f>IF(C120="","",IF(A120="","Falta periodo",IF(COUNTIF(Listas!$A$2:$A$134,A120)=0,"Periodo no válido",IF(X120="","Falta valor",IF(I120="","Falta fuente: no se mostrará",IF(AND(J120="",K120=""),"Sin evidencia",IF(N120&lt;&gt;"Validado","Sin validar","OK")))))))</f>
        <v/>
      </c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9" t="n"/>
      <c r="N121" s="8" t="n"/>
      <c r="O121" s="8" t="n"/>
      <c r="P121" s="9" t="n"/>
      <c r="Q121" s="8" t="n"/>
      <c r="R121" s="8" t="n"/>
      <c r="S121" s="8" t="n"/>
      <c r="T121" s="8" t="n"/>
      <c r="U121" s="8" t="n"/>
      <c r="V121" s="11">
        <f>IF(C121="","",IFERROR(INDEX(Catalogo!$C$5:$C$129,MATCH(C121,Catalogo!$A$5:$A$129,0)),"Código no existe"))</f>
        <v/>
      </c>
      <c r="W121" s="11">
        <f>IF(C121="","",IFERROR(INDEX(Catalogo!$G$5:$G$129,MATCH(C121,Catalogo!$A$5:$A$129,0)),""))</f>
        <v/>
      </c>
      <c r="X121" s="12">
        <f>IF(C121="","",IF(ISNUMBER(F121),F121,IF(AND(ISNUMBER(D121),ISNUMBER(E121),E121&gt;0),D121/E121*IF(W121="%",100,1),IF(ISNUMBER(D121),D121,""))))</f>
        <v/>
      </c>
      <c r="Y121" s="11">
        <f>IF(C121="","",IF(A121="","Falta periodo",IF(COUNTIF(Listas!$A$2:$A$134,A121)=0,"Periodo no válido",IF(X121="","Falta valor",IF(I121="","Falta fuente: no se mostrará",IF(AND(J121="",K121=""),"Sin evidencia",IF(N121&lt;&gt;"Validado","Sin validar","OK")))))))</f>
        <v/>
      </c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9" t="n"/>
      <c r="N122" s="8" t="n"/>
      <c r="O122" s="8" t="n"/>
      <c r="P122" s="9" t="n"/>
      <c r="Q122" s="8" t="n"/>
      <c r="R122" s="8" t="n"/>
      <c r="S122" s="8" t="n"/>
      <c r="T122" s="8" t="n"/>
      <c r="U122" s="8" t="n"/>
      <c r="V122" s="11">
        <f>IF(C122="","",IFERROR(INDEX(Catalogo!$C$5:$C$129,MATCH(C122,Catalogo!$A$5:$A$129,0)),"Código no existe"))</f>
        <v/>
      </c>
      <c r="W122" s="11">
        <f>IF(C122="","",IFERROR(INDEX(Catalogo!$G$5:$G$129,MATCH(C122,Catalogo!$A$5:$A$129,0)),""))</f>
        <v/>
      </c>
      <c r="X122" s="12">
        <f>IF(C122="","",IF(ISNUMBER(F122),F122,IF(AND(ISNUMBER(D122),ISNUMBER(E122),E122&gt;0),D122/E122*IF(W122="%",100,1),IF(ISNUMBER(D122),D122,""))))</f>
        <v/>
      </c>
      <c r="Y122" s="11">
        <f>IF(C122="","",IF(A122="","Falta periodo",IF(COUNTIF(Listas!$A$2:$A$134,A122)=0,"Periodo no válido",IF(X122="","Falta valor",IF(I122="","Falta fuente: no se mostrará",IF(AND(J122="",K122=""),"Sin evidencia",IF(N122&lt;&gt;"Validado","Sin validar","OK")))))))</f>
        <v/>
      </c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9" t="n"/>
      <c r="N123" s="8" t="n"/>
      <c r="O123" s="8" t="n"/>
      <c r="P123" s="9" t="n"/>
      <c r="Q123" s="8" t="n"/>
      <c r="R123" s="8" t="n"/>
      <c r="S123" s="8" t="n"/>
      <c r="T123" s="8" t="n"/>
      <c r="U123" s="8" t="n"/>
      <c r="V123" s="11">
        <f>IF(C123="","",IFERROR(INDEX(Catalogo!$C$5:$C$129,MATCH(C123,Catalogo!$A$5:$A$129,0)),"Código no existe"))</f>
        <v/>
      </c>
      <c r="W123" s="11">
        <f>IF(C123="","",IFERROR(INDEX(Catalogo!$G$5:$G$129,MATCH(C123,Catalogo!$A$5:$A$129,0)),""))</f>
        <v/>
      </c>
      <c r="X123" s="12">
        <f>IF(C123="","",IF(ISNUMBER(F123),F123,IF(AND(ISNUMBER(D123),ISNUMBER(E123),E123&gt;0),D123/E123*IF(W123="%",100,1),IF(ISNUMBER(D123),D123,""))))</f>
        <v/>
      </c>
      <c r="Y123" s="11">
        <f>IF(C123="","",IF(A123="","Falta periodo",IF(COUNTIF(Listas!$A$2:$A$134,A123)=0,"Periodo no válido",IF(X123="","Falta valor",IF(I123="","Falta fuente: no se mostrará",IF(AND(J123="",K123=""),"Sin evidencia",IF(N123&lt;&gt;"Validado","Sin validar","OK")))))))</f>
        <v/>
      </c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9" t="n"/>
      <c r="N124" s="8" t="n"/>
      <c r="O124" s="8" t="n"/>
      <c r="P124" s="9" t="n"/>
      <c r="Q124" s="8" t="n"/>
      <c r="R124" s="8" t="n"/>
      <c r="S124" s="8" t="n"/>
      <c r="T124" s="8" t="n"/>
      <c r="U124" s="8" t="n"/>
      <c r="V124" s="11">
        <f>IF(C124="","",IFERROR(INDEX(Catalogo!$C$5:$C$129,MATCH(C124,Catalogo!$A$5:$A$129,0)),"Código no existe"))</f>
        <v/>
      </c>
      <c r="W124" s="11">
        <f>IF(C124="","",IFERROR(INDEX(Catalogo!$G$5:$G$129,MATCH(C124,Catalogo!$A$5:$A$129,0)),""))</f>
        <v/>
      </c>
      <c r="X124" s="12">
        <f>IF(C124="","",IF(ISNUMBER(F124),F124,IF(AND(ISNUMBER(D124),ISNUMBER(E124),E124&gt;0),D124/E124*IF(W124="%",100,1),IF(ISNUMBER(D124),D124,""))))</f>
        <v/>
      </c>
      <c r="Y124" s="11">
        <f>IF(C124="","",IF(A124="","Falta periodo",IF(COUNTIF(Listas!$A$2:$A$134,A124)=0,"Periodo no válido",IF(X124="","Falta valor",IF(I124="","Falta fuente: no se mostrará",IF(AND(J124="",K124=""),"Sin evidencia",IF(N124&lt;&gt;"Validado","Sin validar","OK")))))))</f>
        <v/>
      </c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9" t="n"/>
      <c r="N125" s="8" t="n"/>
      <c r="O125" s="8" t="n"/>
      <c r="P125" s="9" t="n"/>
      <c r="Q125" s="8" t="n"/>
      <c r="R125" s="8" t="n"/>
      <c r="S125" s="8" t="n"/>
      <c r="T125" s="8" t="n"/>
      <c r="U125" s="8" t="n"/>
      <c r="V125" s="11">
        <f>IF(C125="","",IFERROR(INDEX(Catalogo!$C$5:$C$129,MATCH(C125,Catalogo!$A$5:$A$129,0)),"Código no existe"))</f>
        <v/>
      </c>
      <c r="W125" s="11">
        <f>IF(C125="","",IFERROR(INDEX(Catalogo!$G$5:$G$129,MATCH(C125,Catalogo!$A$5:$A$129,0)),""))</f>
        <v/>
      </c>
      <c r="X125" s="12">
        <f>IF(C125="","",IF(ISNUMBER(F125),F125,IF(AND(ISNUMBER(D125),ISNUMBER(E125),E125&gt;0),D125/E125*IF(W125="%",100,1),IF(ISNUMBER(D125),D125,""))))</f>
        <v/>
      </c>
      <c r="Y125" s="11">
        <f>IF(C125="","",IF(A125="","Falta periodo",IF(COUNTIF(Listas!$A$2:$A$134,A125)=0,"Periodo no válido",IF(X125="","Falta valor",IF(I125="","Falta fuente: no se mostrará",IF(AND(J125="",K125=""),"Sin evidencia",IF(N125&lt;&gt;"Validado","Sin validar","OK")))))))</f>
        <v/>
      </c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9" t="n"/>
      <c r="N126" s="8" t="n"/>
      <c r="O126" s="8" t="n"/>
      <c r="P126" s="9" t="n"/>
      <c r="Q126" s="8" t="n"/>
      <c r="R126" s="8" t="n"/>
      <c r="S126" s="8" t="n"/>
      <c r="T126" s="8" t="n"/>
      <c r="U126" s="8" t="n"/>
      <c r="V126" s="11">
        <f>IF(C126="","",IFERROR(INDEX(Catalogo!$C$5:$C$129,MATCH(C126,Catalogo!$A$5:$A$129,0)),"Código no existe"))</f>
        <v/>
      </c>
      <c r="W126" s="11">
        <f>IF(C126="","",IFERROR(INDEX(Catalogo!$G$5:$G$129,MATCH(C126,Catalogo!$A$5:$A$129,0)),""))</f>
        <v/>
      </c>
      <c r="X126" s="12">
        <f>IF(C126="","",IF(ISNUMBER(F126),F126,IF(AND(ISNUMBER(D126),ISNUMBER(E126),E126&gt;0),D126/E126*IF(W126="%",100,1),IF(ISNUMBER(D126),D126,""))))</f>
        <v/>
      </c>
      <c r="Y126" s="11">
        <f>IF(C126="","",IF(A126="","Falta periodo",IF(COUNTIF(Listas!$A$2:$A$134,A126)=0,"Periodo no válido",IF(X126="","Falta valor",IF(I126="","Falta fuente: no se mostrará",IF(AND(J126="",K126=""),"Sin evidencia",IF(N126&lt;&gt;"Validado","Sin validar","OK")))))))</f>
        <v/>
      </c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9" t="n"/>
      <c r="N127" s="8" t="n"/>
      <c r="O127" s="8" t="n"/>
      <c r="P127" s="9" t="n"/>
      <c r="Q127" s="8" t="n"/>
      <c r="R127" s="8" t="n"/>
      <c r="S127" s="8" t="n"/>
      <c r="T127" s="8" t="n"/>
      <c r="U127" s="8" t="n"/>
      <c r="V127" s="11">
        <f>IF(C127="","",IFERROR(INDEX(Catalogo!$C$5:$C$129,MATCH(C127,Catalogo!$A$5:$A$129,0)),"Código no existe"))</f>
        <v/>
      </c>
      <c r="W127" s="11">
        <f>IF(C127="","",IFERROR(INDEX(Catalogo!$G$5:$G$129,MATCH(C127,Catalogo!$A$5:$A$129,0)),""))</f>
        <v/>
      </c>
      <c r="X127" s="12">
        <f>IF(C127="","",IF(ISNUMBER(F127),F127,IF(AND(ISNUMBER(D127),ISNUMBER(E127),E127&gt;0),D127/E127*IF(W127="%",100,1),IF(ISNUMBER(D127),D127,""))))</f>
        <v/>
      </c>
      <c r="Y127" s="11">
        <f>IF(C127="","",IF(A127="","Falta periodo",IF(COUNTIF(Listas!$A$2:$A$134,A127)=0,"Periodo no válido",IF(X127="","Falta valor",IF(I127="","Falta fuente: no se mostrará",IF(AND(J127="",K127=""),"Sin evidencia",IF(N127&lt;&gt;"Validado","Sin validar","OK")))))))</f>
        <v/>
      </c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 t="n"/>
      <c r="N128" s="8" t="n"/>
      <c r="O128" s="8" t="n"/>
      <c r="P128" s="9" t="n"/>
      <c r="Q128" s="8" t="n"/>
      <c r="R128" s="8" t="n"/>
      <c r="S128" s="8" t="n"/>
      <c r="T128" s="8" t="n"/>
      <c r="U128" s="8" t="n"/>
      <c r="V128" s="11">
        <f>IF(C128="","",IFERROR(INDEX(Catalogo!$C$5:$C$129,MATCH(C128,Catalogo!$A$5:$A$129,0)),"Código no existe"))</f>
        <v/>
      </c>
      <c r="W128" s="11">
        <f>IF(C128="","",IFERROR(INDEX(Catalogo!$G$5:$G$129,MATCH(C128,Catalogo!$A$5:$A$129,0)),""))</f>
        <v/>
      </c>
      <c r="X128" s="12">
        <f>IF(C128="","",IF(ISNUMBER(F128),F128,IF(AND(ISNUMBER(D128),ISNUMBER(E128),E128&gt;0),D128/E128*IF(W128="%",100,1),IF(ISNUMBER(D128),D128,""))))</f>
        <v/>
      </c>
      <c r="Y128" s="11">
        <f>IF(C128="","",IF(A128="","Falta periodo",IF(COUNTIF(Listas!$A$2:$A$134,A128)=0,"Periodo no válido",IF(X128="","Falta valor",IF(I128="","Falta fuente: no se mostrará",IF(AND(J128="",K128=""),"Sin evidencia",IF(N128&lt;&gt;"Validado","Sin validar","OK")))))))</f>
        <v/>
      </c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9" t="n"/>
      <c r="N129" s="8" t="n"/>
      <c r="O129" s="8" t="n"/>
      <c r="P129" s="9" t="n"/>
      <c r="Q129" s="8" t="n"/>
      <c r="R129" s="8" t="n"/>
      <c r="S129" s="8" t="n"/>
      <c r="T129" s="8" t="n"/>
      <c r="U129" s="8" t="n"/>
      <c r="V129" s="11">
        <f>IF(C129="","",IFERROR(INDEX(Catalogo!$C$5:$C$129,MATCH(C129,Catalogo!$A$5:$A$129,0)),"Código no existe"))</f>
        <v/>
      </c>
      <c r="W129" s="11">
        <f>IF(C129="","",IFERROR(INDEX(Catalogo!$G$5:$G$129,MATCH(C129,Catalogo!$A$5:$A$129,0)),""))</f>
        <v/>
      </c>
      <c r="X129" s="12">
        <f>IF(C129="","",IF(ISNUMBER(F129),F129,IF(AND(ISNUMBER(D129),ISNUMBER(E129),E129&gt;0),D129/E129*IF(W129="%",100,1),IF(ISNUMBER(D129),D129,""))))</f>
        <v/>
      </c>
      <c r="Y129" s="11">
        <f>IF(C129="","",IF(A129="","Falta periodo",IF(COUNTIF(Listas!$A$2:$A$134,A129)=0,"Periodo no válido",IF(X129="","Falta valor",IF(I129="","Falta fuente: no se mostrará",IF(AND(J129="",K129=""),"Sin evidencia",IF(N129&lt;&gt;"Validado","Sin validar","OK")))))))</f>
        <v/>
      </c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9" t="n"/>
      <c r="N130" s="8" t="n"/>
      <c r="O130" s="8" t="n"/>
      <c r="P130" s="9" t="n"/>
      <c r="Q130" s="8" t="n"/>
      <c r="R130" s="8" t="n"/>
      <c r="S130" s="8" t="n"/>
      <c r="T130" s="8" t="n"/>
      <c r="U130" s="8" t="n"/>
      <c r="V130" s="11">
        <f>IF(C130="","",IFERROR(INDEX(Catalogo!$C$5:$C$129,MATCH(C130,Catalogo!$A$5:$A$129,0)),"Código no existe"))</f>
        <v/>
      </c>
      <c r="W130" s="11">
        <f>IF(C130="","",IFERROR(INDEX(Catalogo!$G$5:$G$129,MATCH(C130,Catalogo!$A$5:$A$129,0)),""))</f>
        <v/>
      </c>
      <c r="X130" s="12">
        <f>IF(C130="","",IF(ISNUMBER(F130),F130,IF(AND(ISNUMBER(D130),ISNUMBER(E130),E130&gt;0),D130/E130*IF(W130="%",100,1),IF(ISNUMBER(D130),D130,""))))</f>
        <v/>
      </c>
      <c r="Y130" s="11">
        <f>IF(C130="","",IF(A130="","Falta periodo",IF(COUNTIF(Listas!$A$2:$A$134,A130)=0,"Periodo no válido",IF(X130="","Falta valor",IF(I130="","Falta fuente: no se mostrará",IF(AND(J130="",K130=""),"Sin evidencia",IF(N130&lt;&gt;"Validado","Sin validar","OK")))))))</f>
        <v/>
      </c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9" t="n"/>
      <c r="N131" s="8" t="n"/>
      <c r="O131" s="8" t="n"/>
      <c r="P131" s="9" t="n"/>
      <c r="Q131" s="8" t="n"/>
      <c r="R131" s="8" t="n"/>
      <c r="S131" s="8" t="n"/>
      <c r="T131" s="8" t="n"/>
      <c r="U131" s="8" t="n"/>
      <c r="V131" s="11">
        <f>IF(C131="","",IFERROR(INDEX(Catalogo!$C$5:$C$129,MATCH(C131,Catalogo!$A$5:$A$129,0)),"Código no existe"))</f>
        <v/>
      </c>
      <c r="W131" s="11">
        <f>IF(C131="","",IFERROR(INDEX(Catalogo!$G$5:$G$129,MATCH(C131,Catalogo!$A$5:$A$129,0)),""))</f>
        <v/>
      </c>
      <c r="X131" s="12">
        <f>IF(C131="","",IF(ISNUMBER(F131),F131,IF(AND(ISNUMBER(D131),ISNUMBER(E131),E131&gt;0),D131/E131*IF(W131="%",100,1),IF(ISNUMBER(D131),D131,""))))</f>
        <v/>
      </c>
      <c r="Y131" s="11">
        <f>IF(C131="","",IF(A131="","Falta periodo",IF(COUNTIF(Listas!$A$2:$A$134,A131)=0,"Periodo no válido",IF(X131="","Falta valor",IF(I131="","Falta fuente: no se mostrará",IF(AND(J131="",K131=""),"Sin evidencia",IF(N131&lt;&gt;"Validado","Sin validar","OK")))))))</f>
        <v/>
      </c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9" t="n"/>
      <c r="N132" s="8" t="n"/>
      <c r="O132" s="8" t="n"/>
      <c r="P132" s="9" t="n"/>
      <c r="Q132" s="8" t="n"/>
      <c r="R132" s="8" t="n"/>
      <c r="S132" s="8" t="n"/>
      <c r="T132" s="8" t="n"/>
      <c r="U132" s="8" t="n"/>
      <c r="V132" s="11">
        <f>IF(C132="","",IFERROR(INDEX(Catalogo!$C$5:$C$129,MATCH(C132,Catalogo!$A$5:$A$129,0)),"Código no existe"))</f>
        <v/>
      </c>
      <c r="W132" s="11">
        <f>IF(C132="","",IFERROR(INDEX(Catalogo!$G$5:$G$129,MATCH(C132,Catalogo!$A$5:$A$129,0)),""))</f>
        <v/>
      </c>
      <c r="X132" s="12">
        <f>IF(C132="","",IF(ISNUMBER(F132),F132,IF(AND(ISNUMBER(D132),ISNUMBER(E132),E132&gt;0),D132/E132*IF(W132="%",100,1),IF(ISNUMBER(D132),D132,""))))</f>
        <v/>
      </c>
      <c r="Y132" s="11">
        <f>IF(C132="","",IF(A132="","Falta periodo",IF(COUNTIF(Listas!$A$2:$A$134,A132)=0,"Periodo no válido",IF(X132="","Falta valor",IF(I132="","Falta fuente: no se mostrará",IF(AND(J132="",K132=""),"Sin evidencia",IF(N132&lt;&gt;"Validado","Sin validar","OK")))))))</f>
        <v/>
      </c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9" t="n"/>
      <c r="N133" s="8" t="n"/>
      <c r="O133" s="8" t="n"/>
      <c r="P133" s="9" t="n"/>
      <c r="Q133" s="8" t="n"/>
      <c r="R133" s="8" t="n"/>
      <c r="S133" s="8" t="n"/>
      <c r="T133" s="8" t="n"/>
      <c r="U133" s="8" t="n"/>
      <c r="V133" s="11">
        <f>IF(C133="","",IFERROR(INDEX(Catalogo!$C$5:$C$129,MATCH(C133,Catalogo!$A$5:$A$129,0)),"Código no existe"))</f>
        <v/>
      </c>
      <c r="W133" s="11">
        <f>IF(C133="","",IFERROR(INDEX(Catalogo!$G$5:$G$129,MATCH(C133,Catalogo!$A$5:$A$129,0)),""))</f>
        <v/>
      </c>
      <c r="X133" s="12">
        <f>IF(C133="","",IF(ISNUMBER(F133),F133,IF(AND(ISNUMBER(D133),ISNUMBER(E133),E133&gt;0),D133/E133*IF(W133="%",100,1),IF(ISNUMBER(D133),D133,""))))</f>
        <v/>
      </c>
      <c r="Y133" s="11">
        <f>IF(C133="","",IF(A133="","Falta periodo",IF(COUNTIF(Listas!$A$2:$A$134,A133)=0,"Periodo no válido",IF(X133="","Falta valor",IF(I133="","Falta fuente: no se mostrará",IF(AND(J133="",K133=""),"Sin evidencia",IF(N133&lt;&gt;"Validado","Sin validar","OK")))))))</f>
        <v/>
      </c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9" t="n"/>
      <c r="N134" s="8" t="n"/>
      <c r="O134" s="8" t="n"/>
      <c r="P134" s="9" t="n"/>
      <c r="Q134" s="8" t="n"/>
      <c r="R134" s="8" t="n"/>
      <c r="S134" s="8" t="n"/>
      <c r="T134" s="8" t="n"/>
      <c r="U134" s="8" t="n"/>
      <c r="V134" s="11">
        <f>IF(C134="","",IFERROR(INDEX(Catalogo!$C$5:$C$129,MATCH(C134,Catalogo!$A$5:$A$129,0)),"Código no existe"))</f>
        <v/>
      </c>
      <c r="W134" s="11">
        <f>IF(C134="","",IFERROR(INDEX(Catalogo!$G$5:$G$129,MATCH(C134,Catalogo!$A$5:$A$129,0)),""))</f>
        <v/>
      </c>
      <c r="X134" s="12">
        <f>IF(C134="","",IF(ISNUMBER(F134),F134,IF(AND(ISNUMBER(D134),ISNUMBER(E134),E134&gt;0),D134/E134*IF(W134="%",100,1),IF(ISNUMBER(D134),D134,""))))</f>
        <v/>
      </c>
      <c r="Y134" s="11">
        <f>IF(C134="","",IF(A134="","Falta periodo",IF(COUNTIF(Listas!$A$2:$A$134,A134)=0,"Periodo no válido",IF(X134="","Falta valor",IF(I134="","Falta fuente: no se mostrará",IF(AND(J134="",K134=""),"Sin evidencia",IF(N134&lt;&gt;"Validado","Sin validar","OK")))))))</f>
        <v/>
      </c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9" t="n"/>
      <c r="N135" s="8" t="n"/>
      <c r="O135" s="8" t="n"/>
      <c r="P135" s="9" t="n"/>
      <c r="Q135" s="8" t="n"/>
      <c r="R135" s="8" t="n"/>
      <c r="S135" s="8" t="n"/>
      <c r="T135" s="8" t="n"/>
      <c r="U135" s="8" t="n"/>
      <c r="V135" s="11">
        <f>IF(C135="","",IFERROR(INDEX(Catalogo!$C$5:$C$129,MATCH(C135,Catalogo!$A$5:$A$129,0)),"Código no existe"))</f>
        <v/>
      </c>
      <c r="W135" s="11">
        <f>IF(C135="","",IFERROR(INDEX(Catalogo!$G$5:$G$129,MATCH(C135,Catalogo!$A$5:$A$129,0)),""))</f>
        <v/>
      </c>
      <c r="X135" s="12">
        <f>IF(C135="","",IF(ISNUMBER(F135),F135,IF(AND(ISNUMBER(D135),ISNUMBER(E135),E135&gt;0),D135/E135*IF(W135="%",100,1),IF(ISNUMBER(D135),D135,""))))</f>
        <v/>
      </c>
      <c r="Y135" s="11">
        <f>IF(C135="","",IF(A135="","Falta periodo",IF(COUNTIF(Listas!$A$2:$A$134,A135)=0,"Periodo no válido",IF(X135="","Falta valor",IF(I135="","Falta fuente: no se mostrará",IF(AND(J135="",K135=""),"Sin evidencia",IF(N135&lt;&gt;"Validado","Sin validar","OK")))))))</f>
        <v/>
      </c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9" t="n"/>
      <c r="N136" s="8" t="n"/>
      <c r="O136" s="8" t="n"/>
      <c r="P136" s="9" t="n"/>
      <c r="Q136" s="8" t="n"/>
      <c r="R136" s="8" t="n"/>
      <c r="S136" s="8" t="n"/>
      <c r="T136" s="8" t="n"/>
      <c r="U136" s="8" t="n"/>
      <c r="V136" s="11">
        <f>IF(C136="","",IFERROR(INDEX(Catalogo!$C$5:$C$129,MATCH(C136,Catalogo!$A$5:$A$129,0)),"Código no existe"))</f>
        <v/>
      </c>
      <c r="W136" s="11">
        <f>IF(C136="","",IFERROR(INDEX(Catalogo!$G$5:$G$129,MATCH(C136,Catalogo!$A$5:$A$129,0)),""))</f>
        <v/>
      </c>
      <c r="X136" s="12">
        <f>IF(C136="","",IF(ISNUMBER(F136),F136,IF(AND(ISNUMBER(D136),ISNUMBER(E136),E136&gt;0),D136/E136*IF(W136="%",100,1),IF(ISNUMBER(D136),D136,""))))</f>
        <v/>
      </c>
      <c r="Y136" s="11">
        <f>IF(C136="","",IF(A136="","Falta periodo",IF(COUNTIF(Listas!$A$2:$A$134,A136)=0,"Periodo no válido",IF(X136="","Falta valor",IF(I136="","Falta fuente: no se mostrará",IF(AND(J136="",K136=""),"Sin evidencia",IF(N136&lt;&gt;"Validado","Sin validar","OK")))))))</f>
        <v/>
      </c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9" t="n"/>
      <c r="N137" s="8" t="n"/>
      <c r="O137" s="8" t="n"/>
      <c r="P137" s="9" t="n"/>
      <c r="Q137" s="8" t="n"/>
      <c r="R137" s="8" t="n"/>
      <c r="S137" s="8" t="n"/>
      <c r="T137" s="8" t="n"/>
      <c r="U137" s="8" t="n"/>
      <c r="V137" s="11">
        <f>IF(C137="","",IFERROR(INDEX(Catalogo!$C$5:$C$129,MATCH(C137,Catalogo!$A$5:$A$129,0)),"Código no existe"))</f>
        <v/>
      </c>
      <c r="W137" s="11">
        <f>IF(C137="","",IFERROR(INDEX(Catalogo!$G$5:$G$129,MATCH(C137,Catalogo!$A$5:$A$129,0)),""))</f>
        <v/>
      </c>
      <c r="X137" s="12">
        <f>IF(C137="","",IF(ISNUMBER(F137),F137,IF(AND(ISNUMBER(D137),ISNUMBER(E137),E137&gt;0),D137/E137*IF(W137="%",100,1),IF(ISNUMBER(D137),D137,""))))</f>
        <v/>
      </c>
      <c r="Y137" s="11">
        <f>IF(C137="","",IF(A137="","Falta periodo",IF(COUNTIF(Listas!$A$2:$A$134,A137)=0,"Periodo no válido",IF(X137="","Falta valor",IF(I137="","Falta fuente: no se mostrará",IF(AND(J137="",K137=""),"Sin evidencia",IF(N137&lt;&gt;"Validado","Sin validar","OK")))))))</f>
        <v/>
      </c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9" t="n"/>
      <c r="N138" s="8" t="n"/>
      <c r="O138" s="8" t="n"/>
      <c r="P138" s="9" t="n"/>
      <c r="Q138" s="8" t="n"/>
      <c r="R138" s="8" t="n"/>
      <c r="S138" s="8" t="n"/>
      <c r="T138" s="8" t="n"/>
      <c r="U138" s="8" t="n"/>
      <c r="V138" s="11">
        <f>IF(C138="","",IFERROR(INDEX(Catalogo!$C$5:$C$129,MATCH(C138,Catalogo!$A$5:$A$129,0)),"Código no existe"))</f>
        <v/>
      </c>
      <c r="W138" s="11">
        <f>IF(C138="","",IFERROR(INDEX(Catalogo!$G$5:$G$129,MATCH(C138,Catalogo!$A$5:$A$129,0)),""))</f>
        <v/>
      </c>
      <c r="X138" s="12">
        <f>IF(C138="","",IF(ISNUMBER(F138),F138,IF(AND(ISNUMBER(D138),ISNUMBER(E138),E138&gt;0),D138/E138*IF(W138="%",100,1),IF(ISNUMBER(D138),D138,""))))</f>
        <v/>
      </c>
      <c r="Y138" s="11">
        <f>IF(C138="","",IF(A138="","Falta periodo",IF(COUNTIF(Listas!$A$2:$A$134,A138)=0,"Periodo no válido",IF(X138="","Falta valor",IF(I138="","Falta fuente: no se mostrará",IF(AND(J138="",K138=""),"Sin evidencia",IF(N138&lt;&gt;"Validado","Sin validar","OK")))))))</f>
        <v/>
      </c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9" t="n"/>
      <c r="N139" s="8" t="n"/>
      <c r="O139" s="8" t="n"/>
      <c r="P139" s="9" t="n"/>
      <c r="Q139" s="8" t="n"/>
      <c r="R139" s="8" t="n"/>
      <c r="S139" s="8" t="n"/>
      <c r="T139" s="8" t="n"/>
      <c r="U139" s="8" t="n"/>
      <c r="V139" s="11">
        <f>IF(C139="","",IFERROR(INDEX(Catalogo!$C$5:$C$129,MATCH(C139,Catalogo!$A$5:$A$129,0)),"Código no existe"))</f>
        <v/>
      </c>
      <c r="W139" s="11">
        <f>IF(C139="","",IFERROR(INDEX(Catalogo!$G$5:$G$129,MATCH(C139,Catalogo!$A$5:$A$129,0)),""))</f>
        <v/>
      </c>
      <c r="X139" s="12">
        <f>IF(C139="","",IF(ISNUMBER(F139),F139,IF(AND(ISNUMBER(D139),ISNUMBER(E139),E139&gt;0),D139/E139*IF(W139="%",100,1),IF(ISNUMBER(D139),D139,""))))</f>
        <v/>
      </c>
      <c r="Y139" s="11">
        <f>IF(C139="","",IF(A139="","Falta periodo",IF(COUNTIF(Listas!$A$2:$A$134,A139)=0,"Periodo no válido",IF(X139="","Falta valor",IF(I139="","Falta fuente: no se mostrará",IF(AND(J139="",K139=""),"Sin evidencia",IF(N139&lt;&gt;"Validado","Sin validar","OK")))))))</f>
        <v/>
      </c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9" t="n"/>
      <c r="N140" s="8" t="n"/>
      <c r="O140" s="8" t="n"/>
      <c r="P140" s="9" t="n"/>
      <c r="Q140" s="8" t="n"/>
      <c r="R140" s="8" t="n"/>
      <c r="S140" s="8" t="n"/>
      <c r="T140" s="8" t="n"/>
      <c r="U140" s="8" t="n"/>
      <c r="V140" s="11">
        <f>IF(C140="","",IFERROR(INDEX(Catalogo!$C$5:$C$129,MATCH(C140,Catalogo!$A$5:$A$129,0)),"Código no existe"))</f>
        <v/>
      </c>
      <c r="W140" s="11">
        <f>IF(C140="","",IFERROR(INDEX(Catalogo!$G$5:$G$129,MATCH(C140,Catalogo!$A$5:$A$129,0)),""))</f>
        <v/>
      </c>
      <c r="X140" s="12">
        <f>IF(C140="","",IF(ISNUMBER(F140),F140,IF(AND(ISNUMBER(D140),ISNUMBER(E140),E140&gt;0),D140/E140*IF(W140="%",100,1),IF(ISNUMBER(D140),D140,""))))</f>
        <v/>
      </c>
      <c r="Y140" s="11">
        <f>IF(C140="","",IF(A140="","Falta periodo",IF(COUNTIF(Listas!$A$2:$A$134,A140)=0,"Periodo no válido",IF(X140="","Falta valor",IF(I140="","Falta fuente: no se mostrará",IF(AND(J140="",K140=""),"Sin evidencia",IF(N140&lt;&gt;"Validado","Sin validar","OK")))))))</f>
        <v/>
      </c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9" t="n"/>
      <c r="N141" s="8" t="n"/>
      <c r="O141" s="8" t="n"/>
      <c r="P141" s="9" t="n"/>
      <c r="Q141" s="8" t="n"/>
      <c r="R141" s="8" t="n"/>
      <c r="S141" s="8" t="n"/>
      <c r="T141" s="8" t="n"/>
      <c r="U141" s="8" t="n"/>
      <c r="V141" s="11">
        <f>IF(C141="","",IFERROR(INDEX(Catalogo!$C$5:$C$129,MATCH(C141,Catalogo!$A$5:$A$129,0)),"Código no existe"))</f>
        <v/>
      </c>
      <c r="W141" s="11">
        <f>IF(C141="","",IFERROR(INDEX(Catalogo!$G$5:$G$129,MATCH(C141,Catalogo!$A$5:$A$129,0)),""))</f>
        <v/>
      </c>
      <c r="X141" s="12">
        <f>IF(C141="","",IF(ISNUMBER(F141),F141,IF(AND(ISNUMBER(D141),ISNUMBER(E141),E141&gt;0),D141/E141*IF(W141="%",100,1),IF(ISNUMBER(D141),D141,""))))</f>
        <v/>
      </c>
      <c r="Y141" s="11">
        <f>IF(C141="","",IF(A141="","Falta periodo",IF(COUNTIF(Listas!$A$2:$A$134,A141)=0,"Periodo no válido",IF(X141="","Falta valor",IF(I141="","Falta fuente: no se mostrará",IF(AND(J141="",K141=""),"Sin evidencia",IF(N141&lt;&gt;"Validado","Sin validar","OK")))))))</f>
        <v/>
      </c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9" t="n"/>
      <c r="N142" s="8" t="n"/>
      <c r="O142" s="8" t="n"/>
      <c r="P142" s="9" t="n"/>
      <c r="Q142" s="8" t="n"/>
      <c r="R142" s="8" t="n"/>
      <c r="S142" s="8" t="n"/>
      <c r="T142" s="8" t="n"/>
      <c r="U142" s="8" t="n"/>
      <c r="V142" s="11">
        <f>IF(C142="","",IFERROR(INDEX(Catalogo!$C$5:$C$129,MATCH(C142,Catalogo!$A$5:$A$129,0)),"Código no existe"))</f>
        <v/>
      </c>
      <c r="W142" s="11">
        <f>IF(C142="","",IFERROR(INDEX(Catalogo!$G$5:$G$129,MATCH(C142,Catalogo!$A$5:$A$129,0)),""))</f>
        <v/>
      </c>
      <c r="X142" s="12">
        <f>IF(C142="","",IF(ISNUMBER(F142),F142,IF(AND(ISNUMBER(D142),ISNUMBER(E142),E142&gt;0),D142/E142*IF(W142="%",100,1),IF(ISNUMBER(D142),D142,""))))</f>
        <v/>
      </c>
      <c r="Y142" s="11">
        <f>IF(C142="","",IF(A142="","Falta periodo",IF(COUNTIF(Listas!$A$2:$A$134,A142)=0,"Periodo no válido",IF(X142="","Falta valor",IF(I142="","Falta fuente: no se mostrará",IF(AND(J142="",K142=""),"Sin evidencia",IF(N142&lt;&gt;"Validado","Sin validar","OK")))))))</f>
        <v/>
      </c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9" t="n"/>
      <c r="N143" s="8" t="n"/>
      <c r="O143" s="8" t="n"/>
      <c r="P143" s="9" t="n"/>
      <c r="Q143" s="8" t="n"/>
      <c r="R143" s="8" t="n"/>
      <c r="S143" s="8" t="n"/>
      <c r="T143" s="8" t="n"/>
      <c r="U143" s="8" t="n"/>
      <c r="V143" s="11">
        <f>IF(C143="","",IFERROR(INDEX(Catalogo!$C$5:$C$129,MATCH(C143,Catalogo!$A$5:$A$129,0)),"Código no existe"))</f>
        <v/>
      </c>
      <c r="W143" s="11">
        <f>IF(C143="","",IFERROR(INDEX(Catalogo!$G$5:$G$129,MATCH(C143,Catalogo!$A$5:$A$129,0)),""))</f>
        <v/>
      </c>
      <c r="X143" s="12">
        <f>IF(C143="","",IF(ISNUMBER(F143),F143,IF(AND(ISNUMBER(D143),ISNUMBER(E143),E143&gt;0),D143/E143*IF(W143="%",100,1),IF(ISNUMBER(D143),D143,""))))</f>
        <v/>
      </c>
      <c r="Y143" s="11">
        <f>IF(C143="","",IF(A143="","Falta periodo",IF(COUNTIF(Listas!$A$2:$A$134,A143)=0,"Periodo no válido",IF(X143="","Falta valor",IF(I143="","Falta fuente: no se mostrará",IF(AND(J143="",K143=""),"Sin evidencia",IF(N143&lt;&gt;"Validado","Sin validar","OK")))))))</f>
        <v/>
      </c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9" t="n"/>
      <c r="N144" s="8" t="n"/>
      <c r="O144" s="8" t="n"/>
      <c r="P144" s="9" t="n"/>
      <c r="Q144" s="8" t="n"/>
      <c r="R144" s="8" t="n"/>
      <c r="S144" s="8" t="n"/>
      <c r="T144" s="8" t="n"/>
      <c r="U144" s="8" t="n"/>
      <c r="V144" s="11">
        <f>IF(C144="","",IFERROR(INDEX(Catalogo!$C$5:$C$129,MATCH(C144,Catalogo!$A$5:$A$129,0)),"Código no existe"))</f>
        <v/>
      </c>
      <c r="W144" s="11">
        <f>IF(C144="","",IFERROR(INDEX(Catalogo!$G$5:$G$129,MATCH(C144,Catalogo!$A$5:$A$129,0)),""))</f>
        <v/>
      </c>
      <c r="X144" s="12">
        <f>IF(C144="","",IF(ISNUMBER(F144),F144,IF(AND(ISNUMBER(D144),ISNUMBER(E144),E144&gt;0),D144/E144*IF(W144="%",100,1),IF(ISNUMBER(D144),D144,""))))</f>
        <v/>
      </c>
      <c r="Y144" s="11">
        <f>IF(C144="","",IF(A144="","Falta periodo",IF(COUNTIF(Listas!$A$2:$A$134,A144)=0,"Periodo no válido",IF(X144="","Falta valor",IF(I144="","Falta fuente: no se mostrará",IF(AND(J144="",K144=""),"Sin evidencia",IF(N144&lt;&gt;"Validado","Sin validar","OK")))))))</f>
        <v/>
      </c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9" t="n"/>
      <c r="N145" s="8" t="n"/>
      <c r="O145" s="8" t="n"/>
      <c r="P145" s="9" t="n"/>
      <c r="Q145" s="8" t="n"/>
      <c r="R145" s="8" t="n"/>
      <c r="S145" s="8" t="n"/>
      <c r="T145" s="8" t="n"/>
      <c r="U145" s="8" t="n"/>
      <c r="V145" s="11">
        <f>IF(C145="","",IFERROR(INDEX(Catalogo!$C$5:$C$129,MATCH(C145,Catalogo!$A$5:$A$129,0)),"Código no existe"))</f>
        <v/>
      </c>
      <c r="W145" s="11">
        <f>IF(C145="","",IFERROR(INDEX(Catalogo!$G$5:$G$129,MATCH(C145,Catalogo!$A$5:$A$129,0)),""))</f>
        <v/>
      </c>
      <c r="X145" s="12">
        <f>IF(C145="","",IF(ISNUMBER(F145),F145,IF(AND(ISNUMBER(D145),ISNUMBER(E145),E145&gt;0),D145/E145*IF(W145="%",100,1),IF(ISNUMBER(D145),D145,""))))</f>
        <v/>
      </c>
      <c r="Y145" s="11">
        <f>IF(C145="","",IF(A145="","Falta periodo",IF(COUNTIF(Listas!$A$2:$A$134,A145)=0,"Periodo no válido",IF(X145="","Falta valor",IF(I145="","Falta fuente: no se mostrará",IF(AND(J145="",K145=""),"Sin evidencia",IF(N145&lt;&gt;"Validado","Sin validar","OK")))))))</f>
        <v/>
      </c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9" t="n"/>
      <c r="N146" s="8" t="n"/>
      <c r="O146" s="8" t="n"/>
      <c r="P146" s="9" t="n"/>
      <c r="Q146" s="8" t="n"/>
      <c r="R146" s="8" t="n"/>
      <c r="S146" s="8" t="n"/>
      <c r="T146" s="8" t="n"/>
      <c r="U146" s="8" t="n"/>
      <c r="V146" s="11">
        <f>IF(C146="","",IFERROR(INDEX(Catalogo!$C$5:$C$129,MATCH(C146,Catalogo!$A$5:$A$129,0)),"Código no existe"))</f>
        <v/>
      </c>
      <c r="W146" s="11">
        <f>IF(C146="","",IFERROR(INDEX(Catalogo!$G$5:$G$129,MATCH(C146,Catalogo!$A$5:$A$129,0)),""))</f>
        <v/>
      </c>
      <c r="X146" s="12">
        <f>IF(C146="","",IF(ISNUMBER(F146),F146,IF(AND(ISNUMBER(D146),ISNUMBER(E146),E146&gt;0),D146/E146*IF(W146="%",100,1),IF(ISNUMBER(D146),D146,""))))</f>
        <v/>
      </c>
      <c r="Y146" s="11">
        <f>IF(C146="","",IF(A146="","Falta periodo",IF(COUNTIF(Listas!$A$2:$A$134,A146)=0,"Periodo no válido",IF(X146="","Falta valor",IF(I146="","Falta fuente: no se mostrará",IF(AND(J146="",K146=""),"Sin evidencia",IF(N146&lt;&gt;"Validado","Sin validar","OK")))))))</f>
        <v/>
      </c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9" t="n"/>
      <c r="N147" s="8" t="n"/>
      <c r="O147" s="8" t="n"/>
      <c r="P147" s="9" t="n"/>
      <c r="Q147" s="8" t="n"/>
      <c r="R147" s="8" t="n"/>
      <c r="S147" s="8" t="n"/>
      <c r="T147" s="8" t="n"/>
      <c r="U147" s="8" t="n"/>
      <c r="V147" s="11">
        <f>IF(C147="","",IFERROR(INDEX(Catalogo!$C$5:$C$129,MATCH(C147,Catalogo!$A$5:$A$129,0)),"Código no existe"))</f>
        <v/>
      </c>
      <c r="W147" s="11">
        <f>IF(C147="","",IFERROR(INDEX(Catalogo!$G$5:$G$129,MATCH(C147,Catalogo!$A$5:$A$129,0)),""))</f>
        <v/>
      </c>
      <c r="X147" s="12">
        <f>IF(C147="","",IF(ISNUMBER(F147),F147,IF(AND(ISNUMBER(D147),ISNUMBER(E147),E147&gt;0),D147/E147*IF(W147="%",100,1),IF(ISNUMBER(D147),D147,""))))</f>
        <v/>
      </c>
      <c r="Y147" s="11">
        <f>IF(C147="","",IF(A147="","Falta periodo",IF(COUNTIF(Listas!$A$2:$A$134,A147)=0,"Periodo no válido",IF(X147="","Falta valor",IF(I147="","Falta fuente: no se mostrará",IF(AND(J147="",K147=""),"Sin evidencia",IF(N147&lt;&gt;"Validado","Sin validar","OK")))))))</f>
        <v/>
      </c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9" t="n"/>
      <c r="N148" s="8" t="n"/>
      <c r="O148" s="8" t="n"/>
      <c r="P148" s="9" t="n"/>
      <c r="Q148" s="8" t="n"/>
      <c r="R148" s="8" t="n"/>
      <c r="S148" s="8" t="n"/>
      <c r="T148" s="8" t="n"/>
      <c r="U148" s="8" t="n"/>
      <c r="V148" s="11">
        <f>IF(C148="","",IFERROR(INDEX(Catalogo!$C$5:$C$129,MATCH(C148,Catalogo!$A$5:$A$129,0)),"Código no existe"))</f>
        <v/>
      </c>
      <c r="W148" s="11">
        <f>IF(C148="","",IFERROR(INDEX(Catalogo!$G$5:$G$129,MATCH(C148,Catalogo!$A$5:$A$129,0)),""))</f>
        <v/>
      </c>
      <c r="X148" s="12">
        <f>IF(C148="","",IF(ISNUMBER(F148),F148,IF(AND(ISNUMBER(D148),ISNUMBER(E148),E148&gt;0),D148/E148*IF(W148="%",100,1),IF(ISNUMBER(D148),D148,""))))</f>
        <v/>
      </c>
      <c r="Y148" s="11">
        <f>IF(C148="","",IF(A148="","Falta periodo",IF(COUNTIF(Listas!$A$2:$A$134,A148)=0,"Periodo no válido",IF(X148="","Falta valor",IF(I148="","Falta fuente: no se mostrará",IF(AND(J148="",K148=""),"Sin evidencia",IF(N148&lt;&gt;"Validado","Sin validar","OK")))))))</f>
        <v/>
      </c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9" t="n"/>
      <c r="N149" s="8" t="n"/>
      <c r="O149" s="8" t="n"/>
      <c r="P149" s="9" t="n"/>
      <c r="Q149" s="8" t="n"/>
      <c r="R149" s="8" t="n"/>
      <c r="S149" s="8" t="n"/>
      <c r="T149" s="8" t="n"/>
      <c r="U149" s="8" t="n"/>
      <c r="V149" s="11">
        <f>IF(C149="","",IFERROR(INDEX(Catalogo!$C$5:$C$129,MATCH(C149,Catalogo!$A$5:$A$129,0)),"Código no existe"))</f>
        <v/>
      </c>
      <c r="W149" s="11">
        <f>IF(C149="","",IFERROR(INDEX(Catalogo!$G$5:$G$129,MATCH(C149,Catalogo!$A$5:$A$129,0)),""))</f>
        <v/>
      </c>
      <c r="X149" s="12">
        <f>IF(C149="","",IF(ISNUMBER(F149),F149,IF(AND(ISNUMBER(D149),ISNUMBER(E149),E149&gt;0),D149/E149*IF(W149="%",100,1),IF(ISNUMBER(D149),D149,""))))</f>
        <v/>
      </c>
      <c r="Y149" s="11">
        <f>IF(C149="","",IF(A149="","Falta periodo",IF(COUNTIF(Listas!$A$2:$A$134,A149)=0,"Periodo no válido",IF(X149="","Falta valor",IF(I149="","Falta fuente: no se mostrará",IF(AND(J149="",K149=""),"Sin evidencia",IF(N149&lt;&gt;"Validado","Sin validar","OK")))))))</f>
        <v/>
      </c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9" t="n"/>
      <c r="N150" s="8" t="n"/>
      <c r="O150" s="8" t="n"/>
      <c r="P150" s="9" t="n"/>
      <c r="Q150" s="8" t="n"/>
      <c r="R150" s="8" t="n"/>
      <c r="S150" s="8" t="n"/>
      <c r="T150" s="8" t="n"/>
      <c r="U150" s="8" t="n"/>
      <c r="V150" s="11">
        <f>IF(C150="","",IFERROR(INDEX(Catalogo!$C$5:$C$129,MATCH(C150,Catalogo!$A$5:$A$129,0)),"Código no existe"))</f>
        <v/>
      </c>
      <c r="W150" s="11">
        <f>IF(C150="","",IFERROR(INDEX(Catalogo!$G$5:$G$129,MATCH(C150,Catalogo!$A$5:$A$129,0)),""))</f>
        <v/>
      </c>
      <c r="X150" s="12">
        <f>IF(C150="","",IF(ISNUMBER(F150),F150,IF(AND(ISNUMBER(D150),ISNUMBER(E150),E150&gt;0),D150/E150*IF(W150="%",100,1),IF(ISNUMBER(D150),D150,""))))</f>
        <v/>
      </c>
      <c r="Y150" s="11">
        <f>IF(C150="","",IF(A150="","Falta periodo",IF(COUNTIF(Listas!$A$2:$A$134,A150)=0,"Periodo no válido",IF(X150="","Falta valor",IF(I150="","Falta fuente: no se mostrará",IF(AND(J150="",K150=""),"Sin evidencia",IF(N150&lt;&gt;"Validado","Sin validar","OK")))))))</f>
        <v/>
      </c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9" t="n"/>
      <c r="N151" s="8" t="n"/>
      <c r="O151" s="8" t="n"/>
      <c r="P151" s="9" t="n"/>
      <c r="Q151" s="8" t="n"/>
      <c r="R151" s="8" t="n"/>
      <c r="S151" s="8" t="n"/>
      <c r="T151" s="8" t="n"/>
      <c r="U151" s="8" t="n"/>
      <c r="V151" s="11">
        <f>IF(C151="","",IFERROR(INDEX(Catalogo!$C$5:$C$129,MATCH(C151,Catalogo!$A$5:$A$129,0)),"Código no existe"))</f>
        <v/>
      </c>
      <c r="W151" s="11">
        <f>IF(C151="","",IFERROR(INDEX(Catalogo!$G$5:$G$129,MATCH(C151,Catalogo!$A$5:$A$129,0)),""))</f>
        <v/>
      </c>
      <c r="X151" s="12">
        <f>IF(C151="","",IF(ISNUMBER(F151),F151,IF(AND(ISNUMBER(D151),ISNUMBER(E151),E151&gt;0),D151/E151*IF(W151="%",100,1),IF(ISNUMBER(D151),D151,""))))</f>
        <v/>
      </c>
      <c r="Y151" s="11">
        <f>IF(C151="","",IF(A151="","Falta periodo",IF(COUNTIF(Listas!$A$2:$A$134,A151)=0,"Periodo no válido",IF(X151="","Falta valor",IF(I151="","Falta fuente: no se mostrará",IF(AND(J151="",K151=""),"Sin evidencia",IF(N151&lt;&gt;"Validado","Sin validar","OK")))))))</f>
        <v/>
      </c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9" t="n"/>
      <c r="N152" s="8" t="n"/>
      <c r="O152" s="8" t="n"/>
      <c r="P152" s="9" t="n"/>
      <c r="Q152" s="8" t="n"/>
      <c r="R152" s="8" t="n"/>
      <c r="S152" s="8" t="n"/>
      <c r="T152" s="8" t="n"/>
      <c r="U152" s="8" t="n"/>
      <c r="V152" s="11">
        <f>IF(C152="","",IFERROR(INDEX(Catalogo!$C$5:$C$129,MATCH(C152,Catalogo!$A$5:$A$129,0)),"Código no existe"))</f>
        <v/>
      </c>
      <c r="W152" s="11">
        <f>IF(C152="","",IFERROR(INDEX(Catalogo!$G$5:$G$129,MATCH(C152,Catalogo!$A$5:$A$129,0)),""))</f>
        <v/>
      </c>
      <c r="X152" s="12">
        <f>IF(C152="","",IF(ISNUMBER(F152),F152,IF(AND(ISNUMBER(D152),ISNUMBER(E152),E152&gt;0),D152/E152*IF(W152="%",100,1),IF(ISNUMBER(D152),D152,""))))</f>
        <v/>
      </c>
      <c r="Y152" s="11">
        <f>IF(C152="","",IF(A152="","Falta periodo",IF(COUNTIF(Listas!$A$2:$A$134,A152)=0,"Periodo no válido",IF(X152="","Falta valor",IF(I152="","Falta fuente: no se mostrará",IF(AND(J152="",K152=""),"Sin evidencia",IF(N152&lt;&gt;"Validado","Sin validar","OK")))))))</f>
        <v/>
      </c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9" t="n"/>
      <c r="N153" s="8" t="n"/>
      <c r="O153" s="8" t="n"/>
      <c r="P153" s="9" t="n"/>
      <c r="Q153" s="8" t="n"/>
      <c r="R153" s="8" t="n"/>
      <c r="S153" s="8" t="n"/>
      <c r="T153" s="8" t="n"/>
      <c r="U153" s="8" t="n"/>
      <c r="V153" s="11">
        <f>IF(C153="","",IFERROR(INDEX(Catalogo!$C$5:$C$129,MATCH(C153,Catalogo!$A$5:$A$129,0)),"Código no existe"))</f>
        <v/>
      </c>
      <c r="W153" s="11">
        <f>IF(C153="","",IFERROR(INDEX(Catalogo!$G$5:$G$129,MATCH(C153,Catalogo!$A$5:$A$129,0)),""))</f>
        <v/>
      </c>
      <c r="X153" s="12">
        <f>IF(C153="","",IF(ISNUMBER(F153),F153,IF(AND(ISNUMBER(D153),ISNUMBER(E153),E153&gt;0),D153/E153*IF(W153="%",100,1),IF(ISNUMBER(D153),D153,""))))</f>
        <v/>
      </c>
      <c r="Y153" s="11">
        <f>IF(C153="","",IF(A153="","Falta periodo",IF(COUNTIF(Listas!$A$2:$A$134,A153)=0,"Periodo no válido",IF(X153="","Falta valor",IF(I153="","Falta fuente: no se mostrará",IF(AND(J153="",K153=""),"Sin evidencia",IF(N153&lt;&gt;"Validado","Sin validar","OK")))))))</f>
        <v/>
      </c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9" t="n"/>
      <c r="N154" s="8" t="n"/>
      <c r="O154" s="8" t="n"/>
      <c r="P154" s="9" t="n"/>
      <c r="Q154" s="8" t="n"/>
      <c r="R154" s="8" t="n"/>
      <c r="S154" s="8" t="n"/>
      <c r="T154" s="8" t="n"/>
      <c r="U154" s="8" t="n"/>
      <c r="V154" s="11">
        <f>IF(C154="","",IFERROR(INDEX(Catalogo!$C$5:$C$129,MATCH(C154,Catalogo!$A$5:$A$129,0)),"Código no existe"))</f>
        <v/>
      </c>
      <c r="W154" s="11">
        <f>IF(C154="","",IFERROR(INDEX(Catalogo!$G$5:$G$129,MATCH(C154,Catalogo!$A$5:$A$129,0)),""))</f>
        <v/>
      </c>
      <c r="X154" s="12">
        <f>IF(C154="","",IF(ISNUMBER(F154),F154,IF(AND(ISNUMBER(D154),ISNUMBER(E154),E154&gt;0),D154/E154*IF(W154="%",100,1),IF(ISNUMBER(D154),D154,""))))</f>
        <v/>
      </c>
      <c r="Y154" s="11">
        <f>IF(C154="","",IF(A154="","Falta periodo",IF(COUNTIF(Listas!$A$2:$A$134,A154)=0,"Periodo no válido",IF(X154="","Falta valor",IF(I154="","Falta fuente: no se mostrará",IF(AND(J154="",K154=""),"Sin evidencia",IF(N154&lt;&gt;"Validado","Sin validar","OK")))))))</f>
        <v/>
      </c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9" t="n"/>
      <c r="N155" s="8" t="n"/>
      <c r="O155" s="8" t="n"/>
      <c r="P155" s="9" t="n"/>
      <c r="Q155" s="8" t="n"/>
      <c r="R155" s="8" t="n"/>
      <c r="S155" s="8" t="n"/>
      <c r="T155" s="8" t="n"/>
      <c r="U155" s="8" t="n"/>
      <c r="V155" s="11">
        <f>IF(C155="","",IFERROR(INDEX(Catalogo!$C$5:$C$129,MATCH(C155,Catalogo!$A$5:$A$129,0)),"Código no existe"))</f>
        <v/>
      </c>
      <c r="W155" s="11">
        <f>IF(C155="","",IFERROR(INDEX(Catalogo!$G$5:$G$129,MATCH(C155,Catalogo!$A$5:$A$129,0)),""))</f>
        <v/>
      </c>
      <c r="X155" s="12">
        <f>IF(C155="","",IF(ISNUMBER(F155),F155,IF(AND(ISNUMBER(D155),ISNUMBER(E155),E155&gt;0),D155/E155*IF(W155="%",100,1),IF(ISNUMBER(D155),D155,""))))</f>
        <v/>
      </c>
      <c r="Y155" s="11">
        <f>IF(C155="","",IF(A155="","Falta periodo",IF(COUNTIF(Listas!$A$2:$A$134,A155)=0,"Periodo no válido",IF(X155="","Falta valor",IF(I155="","Falta fuente: no se mostrará",IF(AND(J155="",K155=""),"Sin evidencia",IF(N155&lt;&gt;"Validado","Sin validar","OK")))))))</f>
        <v/>
      </c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9" t="n"/>
      <c r="N156" s="8" t="n"/>
      <c r="O156" s="8" t="n"/>
      <c r="P156" s="9" t="n"/>
      <c r="Q156" s="8" t="n"/>
      <c r="R156" s="8" t="n"/>
      <c r="S156" s="8" t="n"/>
      <c r="T156" s="8" t="n"/>
      <c r="U156" s="8" t="n"/>
      <c r="V156" s="11">
        <f>IF(C156="","",IFERROR(INDEX(Catalogo!$C$5:$C$129,MATCH(C156,Catalogo!$A$5:$A$129,0)),"Código no existe"))</f>
        <v/>
      </c>
      <c r="W156" s="11">
        <f>IF(C156="","",IFERROR(INDEX(Catalogo!$G$5:$G$129,MATCH(C156,Catalogo!$A$5:$A$129,0)),""))</f>
        <v/>
      </c>
      <c r="X156" s="12">
        <f>IF(C156="","",IF(ISNUMBER(F156),F156,IF(AND(ISNUMBER(D156),ISNUMBER(E156),E156&gt;0),D156/E156*IF(W156="%",100,1),IF(ISNUMBER(D156),D156,""))))</f>
        <v/>
      </c>
      <c r="Y156" s="11">
        <f>IF(C156="","",IF(A156="","Falta periodo",IF(COUNTIF(Listas!$A$2:$A$134,A156)=0,"Periodo no válido",IF(X156="","Falta valor",IF(I156="","Falta fuente: no se mostrará",IF(AND(J156="",K156=""),"Sin evidencia",IF(N156&lt;&gt;"Validado","Sin validar","OK")))))))</f>
        <v/>
      </c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9" t="n"/>
      <c r="N157" s="8" t="n"/>
      <c r="O157" s="8" t="n"/>
      <c r="P157" s="9" t="n"/>
      <c r="Q157" s="8" t="n"/>
      <c r="R157" s="8" t="n"/>
      <c r="S157" s="8" t="n"/>
      <c r="T157" s="8" t="n"/>
      <c r="U157" s="8" t="n"/>
      <c r="V157" s="11">
        <f>IF(C157="","",IFERROR(INDEX(Catalogo!$C$5:$C$129,MATCH(C157,Catalogo!$A$5:$A$129,0)),"Código no existe"))</f>
        <v/>
      </c>
      <c r="W157" s="11">
        <f>IF(C157="","",IFERROR(INDEX(Catalogo!$G$5:$G$129,MATCH(C157,Catalogo!$A$5:$A$129,0)),""))</f>
        <v/>
      </c>
      <c r="X157" s="12">
        <f>IF(C157="","",IF(ISNUMBER(F157),F157,IF(AND(ISNUMBER(D157),ISNUMBER(E157),E157&gt;0),D157/E157*IF(W157="%",100,1),IF(ISNUMBER(D157),D157,""))))</f>
        <v/>
      </c>
      <c r="Y157" s="11">
        <f>IF(C157="","",IF(A157="","Falta periodo",IF(COUNTIF(Listas!$A$2:$A$134,A157)=0,"Periodo no válido",IF(X157="","Falta valor",IF(I157="","Falta fuente: no se mostrará",IF(AND(J157="",K157=""),"Sin evidencia",IF(N157&lt;&gt;"Validado","Sin validar","OK")))))))</f>
        <v/>
      </c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9" t="n"/>
      <c r="N158" s="8" t="n"/>
      <c r="O158" s="8" t="n"/>
      <c r="P158" s="9" t="n"/>
      <c r="Q158" s="8" t="n"/>
      <c r="R158" s="8" t="n"/>
      <c r="S158" s="8" t="n"/>
      <c r="T158" s="8" t="n"/>
      <c r="U158" s="8" t="n"/>
      <c r="V158" s="11">
        <f>IF(C158="","",IFERROR(INDEX(Catalogo!$C$5:$C$129,MATCH(C158,Catalogo!$A$5:$A$129,0)),"Código no existe"))</f>
        <v/>
      </c>
      <c r="W158" s="11">
        <f>IF(C158="","",IFERROR(INDEX(Catalogo!$G$5:$G$129,MATCH(C158,Catalogo!$A$5:$A$129,0)),""))</f>
        <v/>
      </c>
      <c r="X158" s="12">
        <f>IF(C158="","",IF(ISNUMBER(F158),F158,IF(AND(ISNUMBER(D158),ISNUMBER(E158),E158&gt;0),D158/E158*IF(W158="%",100,1),IF(ISNUMBER(D158),D158,""))))</f>
        <v/>
      </c>
      <c r="Y158" s="11">
        <f>IF(C158="","",IF(A158="","Falta periodo",IF(COUNTIF(Listas!$A$2:$A$134,A158)=0,"Periodo no válido",IF(X158="","Falta valor",IF(I158="","Falta fuente: no se mostrará",IF(AND(J158="",K158=""),"Sin evidencia",IF(N158&lt;&gt;"Validado","Sin validar","OK")))))))</f>
        <v/>
      </c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 t="n"/>
      <c r="N159" s="8" t="n"/>
      <c r="O159" s="8" t="n"/>
      <c r="P159" s="9" t="n"/>
      <c r="Q159" s="8" t="n"/>
      <c r="R159" s="8" t="n"/>
      <c r="S159" s="8" t="n"/>
      <c r="T159" s="8" t="n"/>
      <c r="U159" s="8" t="n"/>
      <c r="V159" s="11">
        <f>IF(C159="","",IFERROR(INDEX(Catalogo!$C$5:$C$129,MATCH(C159,Catalogo!$A$5:$A$129,0)),"Código no existe"))</f>
        <v/>
      </c>
      <c r="W159" s="11">
        <f>IF(C159="","",IFERROR(INDEX(Catalogo!$G$5:$G$129,MATCH(C159,Catalogo!$A$5:$A$129,0)),""))</f>
        <v/>
      </c>
      <c r="X159" s="12">
        <f>IF(C159="","",IF(ISNUMBER(F159),F159,IF(AND(ISNUMBER(D159),ISNUMBER(E159),E159&gt;0),D159/E159*IF(W159="%",100,1),IF(ISNUMBER(D159),D159,""))))</f>
        <v/>
      </c>
      <c r="Y159" s="11">
        <f>IF(C159="","",IF(A159="","Falta periodo",IF(COUNTIF(Listas!$A$2:$A$134,A159)=0,"Periodo no válido",IF(X159="","Falta valor",IF(I159="","Falta fuente: no se mostrará",IF(AND(J159="",K159=""),"Sin evidencia",IF(N159&lt;&gt;"Validado","Sin validar","OK")))))))</f>
        <v/>
      </c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9" t="n"/>
      <c r="N160" s="8" t="n"/>
      <c r="O160" s="8" t="n"/>
      <c r="P160" s="9" t="n"/>
      <c r="Q160" s="8" t="n"/>
      <c r="R160" s="8" t="n"/>
      <c r="S160" s="8" t="n"/>
      <c r="T160" s="8" t="n"/>
      <c r="U160" s="8" t="n"/>
      <c r="V160" s="11">
        <f>IF(C160="","",IFERROR(INDEX(Catalogo!$C$5:$C$129,MATCH(C160,Catalogo!$A$5:$A$129,0)),"Código no existe"))</f>
        <v/>
      </c>
      <c r="W160" s="11">
        <f>IF(C160="","",IFERROR(INDEX(Catalogo!$G$5:$G$129,MATCH(C160,Catalogo!$A$5:$A$129,0)),""))</f>
        <v/>
      </c>
      <c r="X160" s="12">
        <f>IF(C160="","",IF(ISNUMBER(F160),F160,IF(AND(ISNUMBER(D160),ISNUMBER(E160),E160&gt;0),D160/E160*IF(W160="%",100,1),IF(ISNUMBER(D160),D160,""))))</f>
        <v/>
      </c>
      <c r="Y160" s="11">
        <f>IF(C160="","",IF(A160="","Falta periodo",IF(COUNTIF(Listas!$A$2:$A$134,A160)=0,"Periodo no válido",IF(X160="","Falta valor",IF(I160="","Falta fuente: no se mostrará",IF(AND(J160="",K160=""),"Sin evidencia",IF(N160&lt;&gt;"Validado","Sin validar","OK")))))))</f>
        <v/>
      </c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9" t="n"/>
      <c r="N161" s="8" t="n"/>
      <c r="O161" s="8" t="n"/>
      <c r="P161" s="9" t="n"/>
      <c r="Q161" s="8" t="n"/>
      <c r="R161" s="8" t="n"/>
      <c r="S161" s="8" t="n"/>
      <c r="T161" s="8" t="n"/>
      <c r="U161" s="8" t="n"/>
      <c r="V161" s="11">
        <f>IF(C161="","",IFERROR(INDEX(Catalogo!$C$5:$C$129,MATCH(C161,Catalogo!$A$5:$A$129,0)),"Código no existe"))</f>
        <v/>
      </c>
      <c r="W161" s="11">
        <f>IF(C161="","",IFERROR(INDEX(Catalogo!$G$5:$G$129,MATCH(C161,Catalogo!$A$5:$A$129,0)),""))</f>
        <v/>
      </c>
      <c r="X161" s="12">
        <f>IF(C161="","",IF(ISNUMBER(F161),F161,IF(AND(ISNUMBER(D161),ISNUMBER(E161),E161&gt;0),D161/E161*IF(W161="%",100,1),IF(ISNUMBER(D161),D161,""))))</f>
        <v/>
      </c>
      <c r="Y161" s="11">
        <f>IF(C161="","",IF(A161="","Falta periodo",IF(COUNTIF(Listas!$A$2:$A$134,A161)=0,"Periodo no válido",IF(X161="","Falta valor",IF(I161="","Falta fuente: no se mostrará",IF(AND(J161="",K161=""),"Sin evidencia",IF(N161&lt;&gt;"Validado","Sin validar","OK")))))))</f>
        <v/>
      </c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9" t="n"/>
      <c r="N162" s="8" t="n"/>
      <c r="O162" s="8" t="n"/>
      <c r="P162" s="9" t="n"/>
      <c r="Q162" s="8" t="n"/>
      <c r="R162" s="8" t="n"/>
      <c r="S162" s="8" t="n"/>
      <c r="T162" s="8" t="n"/>
      <c r="U162" s="8" t="n"/>
      <c r="V162" s="11">
        <f>IF(C162="","",IFERROR(INDEX(Catalogo!$C$5:$C$129,MATCH(C162,Catalogo!$A$5:$A$129,0)),"Código no existe"))</f>
        <v/>
      </c>
      <c r="W162" s="11">
        <f>IF(C162="","",IFERROR(INDEX(Catalogo!$G$5:$G$129,MATCH(C162,Catalogo!$A$5:$A$129,0)),""))</f>
        <v/>
      </c>
      <c r="X162" s="12">
        <f>IF(C162="","",IF(ISNUMBER(F162),F162,IF(AND(ISNUMBER(D162),ISNUMBER(E162),E162&gt;0),D162/E162*IF(W162="%",100,1),IF(ISNUMBER(D162),D162,""))))</f>
        <v/>
      </c>
      <c r="Y162" s="11">
        <f>IF(C162="","",IF(A162="","Falta periodo",IF(COUNTIF(Listas!$A$2:$A$134,A162)=0,"Periodo no válido",IF(X162="","Falta valor",IF(I162="","Falta fuente: no se mostrará",IF(AND(J162="",K162=""),"Sin evidencia",IF(N162&lt;&gt;"Validado","Sin validar","OK")))))))</f>
        <v/>
      </c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9" t="n"/>
      <c r="N163" s="8" t="n"/>
      <c r="O163" s="8" t="n"/>
      <c r="P163" s="9" t="n"/>
      <c r="Q163" s="8" t="n"/>
      <c r="R163" s="8" t="n"/>
      <c r="S163" s="8" t="n"/>
      <c r="T163" s="8" t="n"/>
      <c r="U163" s="8" t="n"/>
      <c r="V163" s="11">
        <f>IF(C163="","",IFERROR(INDEX(Catalogo!$C$5:$C$129,MATCH(C163,Catalogo!$A$5:$A$129,0)),"Código no existe"))</f>
        <v/>
      </c>
      <c r="W163" s="11">
        <f>IF(C163="","",IFERROR(INDEX(Catalogo!$G$5:$G$129,MATCH(C163,Catalogo!$A$5:$A$129,0)),""))</f>
        <v/>
      </c>
      <c r="X163" s="12">
        <f>IF(C163="","",IF(ISNUMBER(F163),F163,IF(AND(ISNUMBER(D163),ISNUMBER(E163),E163&gt;0),D163/E163*IF(W163="%",100,1),IF(ISNUMBER(D163),D163,""))))</f>
        <v/>
      </c>
      <c r="Y163" s="11">
        <f>IF(C163="","",IF(A163="","Falta periodo",IF(COUNTIF(Listas!$A$2:$A$134,A163)=0,"Periodo no válido",IF(X163="","Falta valor",IF(I163="","Falta fuente: no se mostrará",IF(AND(J163="",K163=""),"Sin evidencia",IF(N163&lt;&gt;"Validado","Sin validar","OK")))))))</f>
        <v/>
      </c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9" t="n"/>
      <c r="N164" s="8" t="n"/>
      <c r="O164" s="8" t="n"/>
      <c r="P164" s="9" t="n"/>
      <c r="Q164" s="8" t="n"/>
      <c r="R164" s="8" t="n"/>
      <c r="S164" s="8" t="n"/>
      <c r="T164" s="8" t="n"/>
      <c r="U164" s="8" t="n"/>
      <c r="V164" s="11">
        <f>IF(C164="","",IFERROR(INDEX(Catalogo!$C$5:$C$129,MATCH(C164,Catalogo!$A$5:$A$129,0)),"Código no existe"))</f>
        <v/>
      </c>
      <c r="W164" s="11">
        <f>IF(C164="","",IFERROR(INDEX(Catalogo!$G$5:$G$129,MATCH(C164,Catalogo!$A$5:$A$129,0)),""))</f>
        <v/>
      </c>
      <c r="X164" s="12">
        <f>IF(C164="","",IF(ISNUMBER(F164),F164,IF(AND(ISNUMBER(D164),ISNUMBER(E164),E164&gt;0),D164/E164*IF(W164="%",100,1),IF(ISNUMBER(D164),D164,""))))</f>
        <v/>
      </c>
      <c r="Y164" s="11">
        <f>IF(C164="","",IF(A164="","Falta periodo",IF(COUNTIF(Listas!$A$2:$A$134,A164)=0,"Periodo no válido",IF(X164="","Falta valor",IF(I164="","Falta fuente: no se mostrará",IF(AND(J164="",K164=""),"Sin evidencia",IF(N164&lt;&gt;"Validado","Sin validar","OK")))))))</f>
        <v/>
      </c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9" t="n"/>
      <c r="N165" s="8" t="n"/>
      <c r="O165" s="8" t="n"/>
      <c r="P165" s="9" t="n"/>
      <c r="Q165" s="8" t="n"/>
      <c r="R165" s="8" t="n"/>
      <c r="S165" s="8" t="n"/>
      <c r="T165" s="8" t="n"/>
      <c r="U165" s="8" t="n"/>
      <c r="V165" s="11">
        <f>IF(C165="","",IFERROR(INDEX(Catalogo!$C$5:$C$129,MATCH(C165,Catalogo!$A$5:$A$129,0)),"Código no existe"))</f>
        <v/>
      </c>
      <c r="W165" s="11">
        <f>IF(C165="","",IFERROR(INDEX(Catalogo!$G$5:$G$129,MATCH(C165,Catalogo!$A$5:$A$129,0)),""))</f>
        <v/>
      </c>
      <c r="X165" s="12">
        <f>IF(C165="","",IF(ISNUMBER(F165),F165,IF(AND(ISNUMBER(D165),ISNUMBER(E165),E165&gt;0),D165/E165*IF(W165="%",100,1),IF(ISNUMBER(D165),D165,""))))</f>
        <v/>
      </c>
      <c r="Y165" s="11">
        <f>IF(C165="","",IF(A165="","Falta periodo",IF(COUNTIF(Listas!$A$2:$A$134,A165)=0,"Periodo no válido",IF(X165="","Falta valor",IF(I165="","Falta fuente: no se mostrará",IF(AND(J165="",K165=""),"Sin evidencia",IF(N165&lt;&gt;"Validado","Sin validar","OK")))))))</f>
        <v/>
      </c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9" t="n"/>
      <c r="N166" s="8" t="n"/>
      <c r="O166" s="8" t="n"/>
      <c r="P166" s="9" t="n"/>
      <c r="Q166" s="8" t="n"/>
      <c r="R166" s="8" t="n"/>
      <c r="S166" s="8" t="n"/>
      <c r="T166" s="8" t="n"/>
      <c r="U166" s="8" t="n"/>
      <c r="V166" s="11">
        <f>IF(C166="","",IFERROR(INDEX(Catalogo!$C$5:$C$129,MATCH(C166,Catalogo!$A$5:$A$129,0)),"Código no existe"))</f>
        <v/>
      </c>
      <c r="W166" s="11">
        <f>IF(C166="","",IFERROR(INDEX(Catalogo!$G$5:$G$129,MATCH(C166,Catalogo!$A$5:$A$129,0)),""))</f>
        <v/>
      </c>
      <c r="X166" s="12">
        <f>IF(C166="","",IF(ISNUMBER(F166),F166,IF(AND(ISNUMBER(D166),ISNUMBER(E166),E166&gt;0),D166/E166*IF(W166="%",100,1),IF(ISNUMBER(D166),D166,""))))</f>
        <v/>
      </c>
      <c r="Y166" s="11">
        <f>IF(C166="","",IF(A166="","Falta periodo",IF(COUNTIF(Listas!$A$2:$A$134,A166)=0,"Periodo no válido",IF(X166="","Falta valor",IF(I166="","Falta fuente: no se mostrará",IF(AND(J166="",K166=""),"Sin evidencia",IF(N166&lt;&gt;"Validado","Sin validar","OK")))))))</f>
        <v/>
      </c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9" t="n"/>
      <c r="N167" s="8" t="n"/>
      <c r="O167" s="8" t="n"/>
      <c r="P167" s="9" t="n"/>
      <c r="Q167" s="8" t="n"/>
      <c r="R167" s="8" t="n"/>
      <c r="S167" s="8" t="n"/>
      <c r="T167" s="8" t="n"/>
      <c r="U167" s="8" t="n"/>
      <c r="V167" s="11">
        <f>IF(C167="","",IFERROR(INDEX(Catalogo!$C$5:$C$129,MATCH(C167,Catalogo!$A$5:$A$129,0)),"Código no existe"))</f>
        <v/>
      </c>
      <c r="W167" s="11">
        <f>IF(C167="","",IFERROR(INDEX(Catalogo!$G$5:$G$129,MATCH(C167,Catalogo!$A$5:$A$129,0)),""))</f>
        <v/>
      </c>
      <c r="X167" s="12">
        <f>IF(C167="","",IF(ISNUMBER(F167),F167,IF(AND(ISNUMBER(D167),ISNUMBER(E167),E167&gt;0),D167/E167*IF(W167="%",100,1),IF(ISNUMBER(D167),D167,""))))</f>
        <v/>
      </c>
      <c r="Y167" s="11">
        <f>IF(C167="","",IF(A167="","Falta periodo",IF(COUNTIF(Listas!$A$2:$A$134,A167)=0,"Periodo no válido",IF(X167="","Falta valor",IF(I167="","Falta fuente: no se mostrará",IF(AND(J167="",K167=""),"Sin evidencia",IF(N167&lt;&gt;"Validado","Sin validar","OK")))))))</f>
        <v/>
      </c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9" t="n"/>
      <c r="N168" s="8" t="n"/>
      <c r="O168" s="8" t="n"/>
      <c r="P168" s="9" t="n"/>
      <c r="Q168" s="8" t="n"/>
      <c r="R168" s="8" t="n"/>
      <c r="S168" s="8" t="n"/>
      <c r="T168" s="8" t="n"/>
      <c r="U168" s="8" t="n"/>
      <c r="V168" s="11">
        <f>IF(C168="","",IFERROR(INDEX(Catalogo!$C$5:$C$129,MATCH(C168,Catalogo!$A$5:$A$129,0)),"Código no existe"))</f>
        <v/>
      </c>
      <c r="W168" s="11">
        <f>IF(C168="","",IFERROR(INDEX(Catalogo!$G$5:$G$129,MATCH(C168,Catalogo!$A$5:$A$129,0)),""))</f>
        <v/>
      </c>
      <c r="X168" s="12">
        <f>IF(C168="","",IF(ISNUMBER(F168),F168,IF(AND(ISNUMBER(D168),ISNUMBER(E168),E168&gt;0),D168/E168*IF(W168="%",100,1),IF(ISNUMBER(D168),D168,""))))</f>
        <v/>
      </c>
      <c r="Y168" s="11">
        <f>IF(C168="","",IF(A168="","Falta periodo",IF(COUNTIF(Listas!$A$2:$A$134,A168)=0,"Periodo no válido",IF(X168="","Falta valor",IF(I168="","Falta fuente: no se mostrará",IF(AND(J168="",K168=""),"Sin evidencia",IF(N168&lt;&gt;"Validado","Sin validar","OK")))))))</f>
        <v/>
      </c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9" t="n"/>
      <c r="N169" s="8" t="n"/>
      <c r="O169" s="8" t="n"/>
      <c r="P169" s="9" t="n"/>
      <c r="Q169" s="8" t="n"/>
      <c r="R169" s="8" t="n"/>
      <c r="S169" s="8" t="n"/>
      <c r="T169" s="8" t="n"/>
      <c r="U169" s="8" t="n"/>
      <c r="V169" s="11">
        <f>IF(C169="","",IFERROR(INDEX(Catalogo!$C$5:$C$129,MATCH(C169,Catalogo!$A$5:$A$129,0)),"Código no existe"))</f>
        <v/>
      </c>
      <c r="W169" s="11">
        <f>IF(C169="","",IFERROR(INDEX(Catalogo!$G$5:$G$129,MATCH(C169,Catalogo!$A$5:$A$129,0)),""))</f>
        <v/>
      </c>
      <c r="X169" s="12">
        <f>IF(C169="","",IF(ISNUMBER(F169),F169,IF(AND(ISNUMBER(D169),ISNUMBER(E169),E169&gt;0),D169/E169*IF(W169="%",100,1),IF(ISNUMBER(D169),D169,""))))</f>
        <v/>
      </c>
      <c r="Y169" s="11">
        <f>IF(C169="","",IF(A169="","Falta periodo",IF(COUNTIF(Listas!$A$2:$A$134,A169)=0,"Periodo no válido",IF(X169="","Falta valor",IF(I169="","Falta fuente: no se mostrará",IF(AND(J169="",K169=""),"Sin evidencia",IF(N169&lt;&gt;"Validado","Sin validar","OK")))))))</f>
        <v/>
      </c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9" t="n"/>
      <c r="N170" s="8" t="n"/>
      <c r="O170" s="8" t="n"/>
      <c r="P170" s="9" t="n"/>
      <c r="Q170" s="8" t="n"/>
      <c r="R170" s="8" t="n"/>
      <c r="S170" s="8" t="n"/>
      <c r="T170" s="8" t="n"/>
      <c r="U170" s="8" t="n"/>
      <c r="V170" s="11">
        <f>IF(C170="","",IFERROR(INDEX(Catalogo!$C$5:$C$129,MATCH(C170,Catalogo!$A$5:$A$129,0)),"Código no existe"))</f>
        <v/>
      </c>
      <c r="W170" s="11">
        <f>IF(C170="","",IFERROR(INDEX(Catalogo!$G$5:$G$129,MATCH(C170,Catalogo!$A$5:$A$129,0)),""))</f>
        <v/>
      </c>
      <c r="X170" s="12">
        <f>IF(C170="","",IF(ISNUMBER(F170),F170,IF(AND(ISNUMBER(D170),ISNUMBER(E170),E170&gt;0),D170/E170*IF(W170="%",100,1),IF(ISNUMBER(D170),D170,""))))</f>
        <v/>
      </c>
      <c r="Y170" s="11">
        <f>IF(C170="","",IF(A170="","Falta periodo",IF(COUNTIF(Listas!$A$2:$A$134,A170)=0,"Periodo no válido",IF(X170="","Falta valor",IF(I170="","Falta fuente: no se mostrará",IF(AND(J170="",K170=""),"Sin evidencia",IF(N170&lt;&gt;"Validado","Sin validar","OK")))))))</f>
        <v/>
      </c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9" t="n"/>
      <c r="N171" s="8" t="n"/>
      <c r="O171" s="8" t="n"/>
      <c r="P171" s="9" t="n"/>
      <c r="Q171" s="8" t="n"/>
      <c r="R171" s="8" t="n"/>
      <c r="S171" s="8" t="n"/>
      <c r="T171" s="8" t="n"/>
      <c r="U171" s="8" t="n"/>
      <c r="V171" s="11">
        <f>IF(C171="","",IFERROR(INDEX(Catalogo!$C$5:$C$129,MATCH(C171,Catalogo!$A$5:$A$129,0)),"Código no existe"))</f>
        <v/>
      </c>
      <c r="W171" s="11">
        <f>IF(C171="","",IFERROR(INDEX(Catalogo!$G$5:$G$129,MATCH(C171,Catalogo!$A$5:$A$129,0)),""))</f>
        <v/>
      </c>
      <c r="X171" s="12">
        <f>IF(C171="","",IF(ISNUMBER(F171),F171,IF(AND(ISNUMBER(D171),ISNUMBER(E171),E171&gt;0),D171/E171*IF(W171="%",100,1),IF(ISNUMBER(D171),D171,""))))</f>
        <v/>
      </c>
      <c r="Y171" s="11">
        <f>IF(C171="","",IF(A171="","Falta periodo",IF(COUNTIF(Listas!$A$2:$A$134,A171)=0,"Periodo no válido",IF(X171="","Falta valor",IF(I171="","Falta fuente: no se mostrará",IF(AND(J171="",K171=""),"Sin evidencia",IF(N171&lt;&gt;"Validado","Sin validar","OK")))))))</f>
        <v/>
      </c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9" t="n"/>
      <c r="N172" s="8" t="n"/>
      <c r="O172" s="8" t="n"/>
      <c r="P172" s="9" t="n"/>
      <c r="Q172" s="8" t="n"/>
      <c r="R172" s="8" t="n"/>
      <c r="S172" s="8" t="n"/>
      <c r="T172" s="8" t="n"/>
      <c r="U172" s="8" t="n"/>
      <c r="V172" s="11">
        <f>IF(C172="","",IFERROR(INDEX(Catalogo!$C$5:$C$129,MATCH(C172,Catalogo!$A$5:$A$129,0)),"Código no existe"))</f>
        <v/>
      </c>
      <c r="W172" s="11">
        <f>IF(C172="","",IFERROR(INDEX(Catalogo!$G$5:$G$129,MATCH(C172,Catalogo!$A$5:$A$129,0)),""))</f>
        <v/>
      </c>
      <c r="X172" s="12">
        <f>IF(C172="","",IF(ISNUMBER(F172),F172,IF(AND(ISNUMBER(D172),ISNUMBER(E172),E172&gt;0),D172/E172*IF(W172="%",100,1),IF(ISNUMBER(D172),D172,""))))</f>
        <v/>
      </c>
      <c r="Y172" s="11">
        <f>IF(C172="","",IF(A172="","Falta periodo",IF(COUNTIF(Listas!$A$2:$A$134,A172)=0,"Periodo no válido",IF(X172="","Falta valor",IF(I172="","Falta fuente: no se mostrará",IF(AND(J172="",K172=""),"Sin evidencia",IF(N172&lt;&gt;"Validado","Sin validar","OK")))))))</f>
        <v/>
      </c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9" t="n"/>
      <c r="N173" s="8" t="n"/>
      <c r="O173" s="8" t="n"/>
      <c r="P173" s="9" t="n"/>
      <c r="Q173" s="8" t="n"/>
      <c r="R173" s="8" t="n"/>
      <c r="S173" s="8" t="n"/>
      <c r="T173" s="8" t="n"/>
      <c r="U173" s="8" t="n"/>
      <c r="V173" s="11">
        <f>IF(C173="","",IFERROR(INDEX(Catalogo!$C$5:$C$129,MATCH(C173,Catalogo!$A$5:$A$129,0)),"Código no existe"))</f>
        <v/>
      </c>
      <c r="W173" s="11">
        <f>IF(C173="","",IFERROR(INDEX(Catalogo!$G$5:$G$129,MATCH(C173,Catalogo!$A$5:$A$129,0)),""))</f>
        <v/>
      </c>
      <c r="X173" s="12">
        <f>IF(C173="","",IF(ISNUMBER(F173),F173,IF(AND(ISNUMBER(D173),ISNUMBER(E173),E173&gt;0),D173/E173*IF(W173="%",100,1),IF(ISNUMBER(D173),D173,""))))</f>
        <v/>
      </c>
      <c r="Y173" s="11">
        <f>IF(C173="","",IF(A173="","Falta periodo",IF(COUNTIF(Listas!$A$2:$A$134,A173)=0,"Periodo no válido",IF(X173="","Falta valor",IF(I173="","Falta fuente: no se mostrará",IF(AND(J173="",K173=""),"Sin evidencia",IF(N173&lt;&gt;"Validado","Sin validar","OK")))))))</f>
        <v/>
      </c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9" t="n"/>
      <c r="N174" s="8" t="n"/>
      <c r="O174" s="8" t="n"/>
      <c r="P174" s="9" t="n"/>
      <c r="Q174" s="8" t="n"/>
      <c r="R174" s="8" t="n"/>
      <c r="S174" s="8" t="n"/>
      <c r="T174" s="8" t="n"/>
      <c r="U174" s="8" t="n"/>
      <c r="V174" s="11">
        <f>IF(C174="","",IFERROR(INDEX(Catalogo!$C$5:$C$129,MATCH(C174,Catalogo!$A$5:$A$129,0)),"Código no existe"))</f>
        <v/>
      </c>
      <c r="W174" s="11">
        <f>IF(C174="","",IFERROR(INDEX(Catalogo!$G$5:$G$129,MATCH(C174,Catalogo!$A$5:$A$129,0)),""))</f>
        <v/>
      </c>
      <c r="X174" s="12">
        <f>IF(C174="","",IF(ISNUMBER(F174),F174,IF(AND(ISNUMBER(D174),ISNUMBER(E174),E174&gt;0),D174/E174*IF(W174="%",100,1),IF(ISNUMBER(D174),D174,""))))</f>
        <v/>
      </c>
      <c r="Y174" s="11">
        <f>IF(C174="","",IF(A174="","Falta periodo",IF(COUNTIF(Listas!$A$2:$A$134,A174)=0,"Periodo no válido",IF(X174="","Falta valor",IF(I174="","Falta fuente: no se mostrará",IF(AND(J174="",K174=""),"Sin evidencia",IF(N174&lt;&gt;"Validado","Sin validar","OK")))))))</f>
        <v/>
      </c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9" t="n"/>
      <c r="N175" s="8" t="n"/>
      <c r="O175" s="8" t="n"/>
      <c r="P175" s="9" t="n"/>
      <c r="Q175" s="8" t="n"/>
      <c r="R175" s="8" t="n"/>
      <c r="S175" s="8" t="n"/>
      <c r="T175" s="8" t="n"/>
      <c r="U175" s="8" t="n"/>
      <c r="V175" s="11">
        <f>IF(C175="","",IFERROR(INDEX(Catalogo!$C$5:$C$129,MATCH(C175,Catalogo!$A$5:$A$129,0)),"Código no existe"))</f>
        <v/>
      </c>
      <c r="W175" s="11">
        <f>IF(C175="","",IFERROR(INDEX(Catalogo!$G$5:$G$129,MATCH(C175,Catalogo!$A$5:$A$129,0)),""))</f>
        <v/>
      </c>
      <c r="X175" s="12">
        <f>IF(C175="","",IF(ISNUMBER(F175),F175,IF(AND(ISNUMBER(D175),ISNUMBER(E175),E175&gt;0),D175/E175*IF(W175="%",100,1),IF(ISNUMBER(D175),D175,""))))</f>
        <v/>
      </c>
      <c r="Y175" s="11">
        <f>IF(C175="","",IF(A175="","Falta periodo",IF(COUNTIF(Listas!$A$2:$A$134,A175)=0,"Periodo no válido",IF(X175="","Falta valor",IF(I175="","Falta fuente: no se mostrará",IF(AND(J175="",K175=""),"Sin evidencia",IF(N175&lt;&gt;"Validado","Sin validar","OK")))))))</f>
        <v/>
      </c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9" t="n"/>
      <c r="N176" s="8" t="n"/>
      <c r="O176" s="8" t="n"/>
      <c r="P176" s="9" t="n"/>
      <c r="Q176" s="8" t="n"/>
      <c r="R176" s="8" t="n"/>
      <c r="S176" s="8" t="n"/>
      <c r="T176" s="8" t="n"/>
      <c r="U176" s="8" t="n"/>
      <c r="V176" s="11">
        <f>IF(C176="","",IFERROR(INDEX(Catalogo!$C$5:$C$129,MATCH(C176,Catalogo!$A$5:$A$129,0)),"Código no existe"))</f>
        <v/>
      </c>
      <c r="W176" s="11">
        <f>IF(C176="","",IFERROR(INDEX(Catalogo!$G$5:$G$129,MATCH(C176,Catalogo!$A$5:$A$129,0)),""))</f>
        <v/>
      </c>
      <c r="X176" s="12">
        <f>IF(C176="","",IF(ISNUMBER(F176),F176,IF(AND(ISNUMBER(D176),ISNUMBER(E176),E176&gt;0),D176/E176*IF(W176="%",100,1),IF(ISNUMBER(D176),D176,""))))</f>
        <v/>
      </c>
      <c r="Y176" s="11">
        <f>IF(C176="","",IF(A176="","Falta periodo",IF(COUNTIF(Listas!$A$2:$A$134,A176)=0,"Periodo no válido",IF(X176="","Falta valor",IF(I176="","Falta fuente: no se mostrará",IF(AND(J176="",K176=""),"Sin evidencia",IF(N176&lt;&gt;"Validado","Sin validar","OK")))))))</f>
        <v/>
      </c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9" t="n"/>
      <c r="N177" s="8" t="n"/>
      <c r="O177" s="8" t="n"/>
      <c r="P177" s="9" t="n"/>
      <c r="Q177" s="8" t="n"/>
      <c r="R177" s="8" t="n"/>
      <c r="S177" s="8" t="n"/>
      <c r="T177" s="8" t="n"/>
      <c r="U177" s="8" t="n"/>
      <c r="V177" s="11">
        <f>IF(C177="","",IFERROR(INDEX(Catalogo!$C$5:$C$129,MATCH(C177,Catalogo!$A$5:$A$129,0)),"Código no existe"))</f>
        <v/>
      </c>
      <c r="W177" s="11">
        <f>IF(C177="","",IFERROR(INDEX(Catalogo!$G$5:$G$129,MATCH(C177,Catalogo!$A$5:$A$129,0)),""))</f>
        <v/>
      </c>
      <c r="X177" s="12">
        <f>IF(C177="","",IF(ISNUMBER(F177),F177,IF(AND(ISNUMBER(D177),ISNUMBER(E177),E177&gt;0),D177/E177*IF(W177="%",100,1),IF(ISNUMBER(D177),D177,""))))</f>
        <v/>
      </c>
      <c r="Y177" s="11">
        <f>IF(C177="","",IF(A177="","Falta periodo",IF(COUNTIF(Listas!$A$2:$A$134,A177)=0,"Periodo no válido",IF(X177="","Falta valor",IF(I177="","Falta fuente: no se mostrará",IF(AND(J177="",K177=""),"Sin evidencia",IF(N177&lt;&gt;"Validado","Sin validar","OK")))))))</f>
        <v/>
      </c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9" t="n"/>
      <c r="N178" s="8" t="n"/>
      <c r="O178" s="8" t="n"/>
      <c r="P178" s="9" t="n"/>
      <c r="Q178" s="8" t="n"/>
      <c r="R178" s="8" t="n"/>
      <c r="S178" s="8" t="n"/>
      <c r="T178" s="8" t="n"/>
      <c r="U178" s="8" t="n"/>
      <c r="V178" s="11">
        <f>IF(C178="","",IFERROR(INDEX(Catalogo!$C$5:$C$129,MATCH(C178,Catalogo!$A$5:$A$129,0)),"Código no existe"))</f>
        <v/>
      </c>
      <c r="W178" s="11">
        <f>IF(C178="","",IFERROR(INDEX(Catalogo!$G$5:$G$129,MATCH(C178,Catalogo!$A$5:$A$129,0)),""))</f>
        <v/>
      </c>
      <c r="X178" s="12">
        <f>IF(C178="","",IF(ISNUMBER(F178),F178,IF(AND(ISNUMBER(D178),ISNUMBER(E178),E178&gt;0),D178/E178*IF(W178="%",100,1),IF(ISNUMBER(D178),D178,""))))</f>
        <v/>
      </c>
      <c r="Y178" s="11">
        <f>IF(C178="","",IF(A178="","Falta periodo",IF(COUNTIF(Listas!$A$2:$A$134,A178)=0,"Periodo no válido",IF(X178="","Falta valor",IF(I178="","Falta fuente: no se mostrará",IF(AND(J178="",K178=""),"Sin evidencia",IF(N178&lt;&gt;"Validado","Sin validar","OK")))))))</f>
        <v/>
      </c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9" t="n"/>
      <c r="N179" s="8" t="n"/>
      <c r="O179" s="8" t="n"/>
      <c r="P179" s="9" t="n"/>
      <c r="Q179" s="8" t="n"/>
      <c r="R179" s="8" t="n"/>
      <c r="S179" s="8" t="n"/>
      <c r="T179" s="8" t="n"/>
      <c r="U179" s="8" t="n"/>
      <c r="V179" s="11">
        <f>IF(C179="","",IFERROR(INDEX(Catalogo!$C$5:$C$129,MATCH(C179,Catalogo!$A$5:$A$129,0)),"Código no existe"))</f>
        <v/>
      </c>
      <c r="W179" s="11">
        <f>IF(C179="","",IFERROR(INDEX(Catalogo!$G$5:$G$129,MATCH(C179,Catalogo!$A$5:$A$129,0)),""))</f>
        <v/>
      </c>
      <c r="X179" s="12">
        <f>IF(C179="","",IF(ISNUMBER(F179),F179,IF(AND(ISNUMBER(D179),ISNUMBER(E179),E179&gt;0),D179/E179*IF(W179="%",100,1),IF(ISNUMBER(D179),D179,""))))</f>
        <v/>
      </c>
      <c r="Y179" s="11">
        <f>IF(C179="","",IF(A179="","Falta periodo",IF(COUNTIF(Listas!$A$2:$A$134,A179)=0,"Periodo no válido",IF(X179="","Falta valor",IF(I179="","Falta fuente: no se mostrará",IF(AND(J179="",K179=""),"Sin evidencia",IF(N179&lt;&gt;"Validado","Sin validar","OK")))))))</f>
        <v/>
      </c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9" t="n"/>
      <c r="N180" s="8" t="n"/>
      <c r="O180" s="8" t="n"/>
      <c r="P180" s="9" t="n"/>
      <c r="Q180" s="8" t="n"/>
      <c r="R180" s="8" t="n"/>
      <c r="S180" s="8" t="n"/>
      <c r="T180" s="8" t="n"/>
      <c r="U180" s="8" t="n"/>
      <c r="V180" s="11">
        <f>IF(C180="","",IFERROR(INDEX(Catalogo!$C$5:$C$129,MATCH(C180,Catalogo!$A$5:$A$129,0)),"Código no existe"))</f>
        <v/>
      </c>
      <c r="W180" s="11">
        <f>IF(C180="","",IFERROR(INDEX(Catalogo!$G$5:$G$129,MATCH(C180,Catalogo!$A$5:$A$129,0)),""))</f>
        <v/>
      </c>
      <c r="X180" s="12">
        <f>IF(C180="","",IF(ISNUMBER(F180),F180,IF(AND(ISNUMBER(D180),ISNUMBER(E180),E180&gt;0),D180/E180*IF(W180="%",100,1),IF(ISNUMBER(D180),D180,""))))</f>
        <v/>
      </c>
      <c r="Y180" s="11">
        <f>IF(C180="","",IF(A180="","Falta periodo",IF(COUNTIF(Listas!$A$2:$A$134,A180)=0,"Periodo no válido",IF(X180="","Falta valor",IF(I180="","Falta fuente: no se mostrará",IF(AND(J180="",K180=""),"Sin evidencia",IF(N180&lt;&gt;"Validado","Sin validar","OK")))))))</f>
        <v/>
      </c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9" t="n"/>
      <c r="N181" s="8" t="n"/>
      <c r="O181" s="8" t="n"/>
      <c r="P181" s="9" t="n"/>
      <c r="Q181" s="8" t="n"/>
      <c r="R181" s="8" t="n"/>
      <c r="S181" s="8" t="n"/>
      <c r="T181" s="8" t="n"/>
      <c r="U181" s="8" t="n"/>
      <c r="V181" s="11">
        <f>IF(C181="","",IFERROR(INDEX(Catalogo!$C$5:$C$129,MATCH(C181,Catalogo!$A$5:$A$129,0)),"Código no existe"))</f>
        <v/>
      </c>
      <c r="W181" s="11">
        <f>IF(C181="","",IFERROR(INDEX(Catalogo!$G$5:$G$129,MATCH(C181,Catalogo!$A$5:$A$129,0)),""))</f>
        <v/>
      </c>
      <c r="X181" s="12">
        <f>IF(C181="","",IF(ISNUMBER(F181),F181,IF(AND(ISNUMBER(D181),ISNUMBER(E181),E181&gt;0),D181/E181*IF(W181="%",100,1),IF(ISNUMBER(D181),D181,""))))</f>
        <v/>
      </c>
      <c r="Y181" s="11">
        <f>IF(C181="","",IF(A181="","Falta periodo",IF(COUNTIF(Listas!$A$2:$A$134,A181)=0,"Periodo no válido",IF(X181="","Falta valor",IF(I181="","Falta fuente: no se mostrará",IF(AND(J181="",K181=""),"Sin evidencia",IF(N181&lt;&gt;"Validado","Sin validar","OK")))))))</f>
        <v/>
      </c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9" t="n"/>
      <c r="N182" s="8" t="n"/>
      <c r="O182" s="8" t="n"/>
      <c r="P182" s="9" t="n"/>
      <c r="Q182" s="8" t="n"/>
      <c r="R182" s="8" t="n"/>
      <c r="S182" s="8" t="n"/>
      <c r="T182" s="8" t="n"/>
      <c r="U182" s="8" t="n"/>
      <c r="V182" s="11">
        <f>IF(C182="","",IFERROR(INDEX(Catalogo!$C$5:$C$129,MATCH(C182,Catalogo!$A$5:$A$129,0)),"Código no existe"))</f>
        <v/>
      </c>
      <c r="W182" s="11">
        <f>IF(C182="","",IFERROR(INDEX(Catalogo!$G$5:$G$129,MATCH(C182,Catalogo!$A$5:$A$129,0)),""))</f>
        <v/>
      </c>
      <c r="X182" s="12">
        <f>IF(C182="","",IF(ISNUMBER(F182),F182,IF(AND(ISNUMBER(D182),ISNUMBER(E182),E182&gt;0),D182/E182*IF(W182="%",100,1),IF(ISNUMBER(D182),D182,""))))</f>
        <v/>
      </c>
      <c r="Y182" s="11">
        <f>IF(C182="","",IF(A182="","Falta periodo",IF(COUNTIF(Listas!$A$2:$A$134,A182)=0,"Periodo no válido",IF(X182="","Falta valor",IF(I182="","Falta fuente: no se mostrará",IF(AND(J182="",K182=""),"Sin evidencia",IF(N182&lt;&gt;"Validado","Sin validar","OK")))))))</f>
        <v/>
      </c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9" t="n"/>
      <c r="N183" s="8" t="n"/>
      <c r="O183" s="8" t="n"/>
      <c r="P183" s="9" t="n"/>
      <c r="Q183" s="8" t="n"/>
      <c r="R183" s="8" t="n"/>
      <c r="S183" s="8" t="n"/>
      <c r="T183" s="8" t="n"/>
      <c r="U183" s="8" t="n"/>
      <c r="V183" s="11">
        <f>IF(C183="","",IFERROR(INDEX(Catalogo!$C$5:$C$129,MATCH(C183,Catalogo!$A$5:$A$129,0)),"Código no existe"))</f>
        <v/>
      </c>
      <c r="W183" s="11">
        <f>IF(C183="","",IFERROR(INDEX(Catalogo!$G$5:$G$129,MATCH(C183,Catalogo!$A$5:$A$129,0)),""))</f>
        <v/>
      </c>
      <c r="X183" s="12">
        <f>IF(C183="","",IF(ISNUMBER(F183),F183,IF(AND(ISNUMBER(D183),ISNUMBER(E183),E183&gt;0),D183/E183*IF(W183="%",100,1),IF(ISNUMBER(D183),D183,""))))</f>
        <v/>
      </c>
      <c r="Y183" s="11">
        <f>IF(C183="","",IF(A183="","Falta periodo",IF(COUNTIF(Listas!$A$2:$A$134,A183)=0,"Periodo no válido",IF(X183="","Falta valor",IF(I183="","Falta fuente: no se mostrará",IF(AND(J183="",K183=""),"Sin evidencia",IF(N183&lt;&gt;"Validado","Sin validar","OK")))))))</f>
        <v/>
      </c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9" t="n"/>
      <c r="N184" s="8" t="n"/>
      <c r="O184" s="8" t="n"/>
      <c r="P184" s="9" t="n"/>
      <c r="Q184" s="8" t="n"/>
      <c r="R184" s="8" t="n"/>
      <c r="S184" s="8" t="n"/>
      <c r="T184" s="8" t="n"/>
      <c r="U184" s="8" t="n"/>
      <c r="V184" s="11">
        <f>IF(C184="","",IFERROR(INDEX(Catalogo!$C$5:$C$129,MATCH(C184,Catalogo!$A$5:$A$129,0)),"Código no existe"))</f>
        <v/>
      </c>
      <c r="W184" s="11">
        <f>IF(C184="","",IFERROR(INDEX(Catalogo!$G$5:$G$129,MATCH(C184,Catalogo!$A$5:$A$129,0)),""))</f>
        <v/>
      </c>
      <c r="X184" s="12">
        <f>IF(C184="","",IF(ISNUMBER(F184),F184,IF(AND(ISNUMBER(D184),ISNUMBER(E184),E184&gt;0),D184/E184*IF(W184="%",100,1),IF(ISNUMBER(D184),D184,""))))</f>
        <v/>
      </c>
      <c r="Y184" s="11">
        <f>IF(C184="","",IF(A184="","Falta periodo",IF(COUNTIF(Listas!$A$2:$A$134,A184)=0,"Periodo no válido",IF(X184="","Falta valor",IF(I184="","Falta fuente: no se mostrará",IF(AND(J184="",K184=""),"Sin evidencia",IF(N184&lt;&gt;"Validado","Sin validar","OK")))))))</f>
        <v/>
      </c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9" t="n"/>
      <c r="N185" s="8" t="n"/>
      <c r="O185" s="8" t="n"/>
      <c r="P185" s="9" t="n"/>
      <c r="Q185" s="8" t="n"/>
      <c r="R185" s="8" t="n"/>
      <c r="S185" s="8" t="n"/>
      <c r="T185" s="8" t="n"/>
      <c r="U185" s="8" t="n"/>
      <c r="V185" s="11">
        <f>IF(C185="","",IFERROR(INDEX(Catalogo!$C$5:$C$129,MATCH(C185,Catalogo!$A$5:$A$129,0)),"Código no existe"))</f>
        <v/>
      </c>
      <c r="W185" s="11">
        <f>IF(C185="","",IFERROR(INDEX(Catalogo!$G$5:$G$129,MATCH(C185,Catalogo!$A$5:$A$129,0)),""))</f>
        <v/>
      </c>
      <c r="X185" s="12">
        <f>IF(C185="","",IF(ISNUMBER(F185),F185,IF(AND(ISNUMBER(D185),ISNUMBER(E185),E185&gt;0),D185/E185*IF(W185="%",100,1),IF(ISNUMBER(D185),D185,""))))</f>
        <v/>
      </c>
      <c r="Y185" s="11">
        <f>IF(C185="","",IF(A185="","Falta periodo",IF(COUNTIF(Listas!$A$2:$A$134,A185)=0,"Periodo no válido",IF(X185="","Falta valor",IF(I185="","Falta fuente: no se mostrará",IF(AND(J185="",K185=""),"Sin evidencia",IF(N185&lt;&gt;"Validado","Sin validar","OK")))))))</f>
        <v/>
      </c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9" t="n"/>
      <c r="N186" s="8" t="n"/>
      <c r="O186" s="8" t="n"/>
      <c r="P186" s="9" t="n"/>
      <c r="Q186" s="8" t="n"/>
      <c r="R186" s="8" t="n"/>
      <c r="S186" s="8" t="n"/>
      <c r="T186" s="8" t="n"/>
      <c r="U186" s="8" t="n"/>
      <c r="V186" s="11">
        <f>IF(C186="","",IFERROR(INDEX(Catalogo!$C$5:$C$129,MATCH(C186,Catalogo!$A$5:$A$129,0)),"Código no existe"))</f>
        <v/>
      </c>
      <c r="W186" s="11">
        <f>IF(C186="","",IFERROR(INDEX(Catalogo!$G$5:$G$129,MATCH(C186,Catalogo!$A$5:$A$129,0)),""))</f>
        <v/>
      </c>
      <c r="X186" s="12">
        <f>IF(C186="","",IF(ISNUMBER(F186),F186,IF(AND(ISNUMBER(D186),ISNUMBER(E186),E186&gt;0),D186/E186*IF(W186="%",100,1),IF(ISNUMBER(D186),D186,""))))</f>
        <v/>
      </c>
      <c r="Y186" s="11">
        <f>IF(C186="","",IF(A186="","Falta periodo",IF(COUNTIF(Listas!$A$2:$A$134,A186)=0,"Periodo no válido",IF(X186="","Falta valor",IF(I186="","Falta fuente: no se mostrará",IF(AND(J186="",K186=""),"Sin evidencia",IF(N186&lt;&gt;"Validado","Sin validar","OK")))))))</f>
        <v/>
      </c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9" t="n"/>
      <c r="N187" s="8" t="n"/>
      <c r="O187" s="8" t="n"/>
      <c r="P187" s="9" t="n"/>
      <c r="Q187" s="8" t="n"/>
      <c r="R187" s="8" t="n"/>
      <c r="S187" s="8" t="n"/>
      <c r="T187" s="8" t="n"/>
      <c r="U187" s="8" t="n"/>
      <c r="V187" s="11">
        <f>IF(C187="","",IFERROR(INDEX(Catalogo!$C$5:$C$129,MATCH(C187,Catalogo!$A$5:$A$129,0)),"Código no existe"))</f>
        <v/>
      </c>
      <c r="W187" s="11">
        <f>IF(C187="","",IFERROR(INDEX(Catalogo!$G$5:$G$129,MATCH(C187,Catalogo!$A$5:$A$129,0)),""))</f>
        <v/>
      </c>
      <c r="X187" s="12">
        <f>IF(C187="","",IF(ISNUMBER(F187),F187,IF(AND(ISNUMBER(D187),ISNUMBER(E187),E187&gt;0),D187/E187*IF(W187="%",100,1),IF(ISNUMBER(D187),D187,""))))</f>
        <v/>
      </c>
      <c r="Y187" s="11">
        <f>IF(C187="","",IF(A187="","Falta periodo",IF(COUNTIF(Listas!$A$2:$A$134,A187)=0,"Periodo no válido",IF(X187="","Falta valor",IF(I187="","Falta fuente: no se mostrará",IF(AND(J187="",K187=""),"Sin evidencia",IF(N187&lt;&gt;"Validado","Sin validar","OK")))))))</f>
        <v/>
      </c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9" t="n"/>
      <c r="N188" s="8" t="n"/>
      <c r="O188" s="8" t="n"/>
      <c r="P188" s="9" t="n"/>
      <c r="Q188" s="8" t="n"/>
      <c r="R188" s="8" t="n"/>
      <c r="S188" s="8" t="n"/>
      <c r="T188" s="8" t="n"/>
      <c r="U188" s="8" t="n"/>
      <c r="V188" s="11">
        <f>IF(C188="","",IFERROR(INDEX(Catalogo!$C$5:$C$129,MATCH(C188,Catalogo!$A$5:$A$129,0)),"Código no existe"))</f>
        <v/>
      </c>
      <c r="W188" s="11">
        <f>IF(C188="","",IFERROR(INDEX(Catalogo!$G$5:$G$129,MATCH(C188,Catalogo!$A$5:$A$129,0)),""))</f>
        <v/>
      </c>
      <c r="X188" s="12">
        <f>IF(C188="","",IF(ISNUMBER(F188),F188,IF(AND(ISNUMBER(D188),ISNUMBER(E188),E188&gt;0),D188/E188*IF(W188="%",100,1),IF(ISNUMBER(D188),D188,""))))</f>
        <v/>
      </c>
      <c r="Y188" s="11">
        <f>IF(C188="","",IF(A188="","Falta periodo",IF(COUNTIF(Listas!$A$2:$A$134,A188)=0,"Periodo no válido",IF(X188="","Falta valor",IF(I188="","Falta fuente: no se mostrará",IF(AND(J188="",K188=""),"Sin evidencia",IF(N188&lt;&gt;"Validado","Sin validar","OK")))))))</f>
        <v/>
      </c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9" t="n"/>
      <c r="N189" s="8" t="n"/>
      <c r="O189" s="8" t="n"/>
      <c r="P189" s="9" t="n"/>
      <c r="Q189" s="8" t="n"/>
      <c r="R189" s="8" t="n"/>
      <c r="S189" s="8" t="n"/>
      <c r="T189" s="8" t="n"/>
      <c r="U189" s="8" t="n"/>
      <c r="V189" s="11">
        <f>IF(C189="","",IFERROR(INDEX(Catalogo!$C$5:$C$129,MATCH(C189,Catalogo!$A$5:$A$129,0)),"Código no existe"))</f>
        <v/>
      </c>
      <c r="W189" s="11">
        <f>IF(C189="","",IFERROR(INDEX(Catalogo!$G$5:$G$129,MATCH(C189,Catalogo!$A$5:$A$129,0)),""))</f>
        <v/>
      </c>
      <c r="X189" s="12">
        <f>IF(C189="","",IF(ISNUMBER(F189),F189,IF(AND(ISNUMBER(D189),ISNUMBER(E189),E189&gt;0),D189/E189*IF(W189="%",100,1),IF(ISNUMBER(D189),D189,""))))</f>
        <v/>
      </c>
      <c r="Y189" s="11">
        <f>IF(C189="","",IF(A189="","Falta periodo",IF(COUNTIF(Listas!$A$2:$A$134,A189)=0,"Periodo no válido",IF(X189="","Falta valor",IF(I189="","Falta fuente: no se mostrará",IF(AND(J189="",K189=""),"Sin evidencia",IF(N189&lt;&gt;"Validado","Sin validar","OK")))))))</f>
        <v/>
      </c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9" t="n"/>
      <c r="N190" s="8" t="n"/>
      <c r="O190" s="8" t="n"/>
      <c r="P190" s="9" t="n"/>
      <c r="Q190" s="8" t="n"/>
      <c r="R190" s="8" t="n"/>
      <c r="S190" s="8" t="n"/>
      <c r="T190" s="8" t="n"/>
      <c r="U190" s="8" t="n"/>
      <c r="V190" s="11">
        <f>IF(C190="","",IFERROR(INDEX(Catalogo!$C$5:$C$129,MATCH(C190,Catalogo!$A$5:$A$129,0)),"Código no existe"))</f>
        <v/>
      </c>
      <c r="W190" s="11">
        <f>IF(C190="","",IFERROR(INDEX(Catalogo!$G$5:$G$129,MATCH(C190,Catalogo!$A$5:$A$129,0)),""))</f>
        <v/>
      </c>
      <c r="X190" s="12">
        <f>IF(C190="","",IF(ISNUMBER(F190),F190,IF(AND(ISNUMBER(D190),ISNUMBER(E190),E190&gt;0),D190/E190*IF(W190="%",100,1),IF(ISNUMBER(D190),D190,""))))</f>
        <v/>
      </c>
      <c r="Y190" s="11">
        <f>IF(C190="","",IF(A190="","Falta periodo",IF(COUNTIF(Listas!$A$2:$A$134,A190)=0,"Periodo no válido",IF(X190="","Falta valor",IF(I190="","Falta fuente: no se mostrará",IF(AND(J190="",K190=""),"Sin evidencia",IF(N190&lt;&gt;"Validado","Sin validar","OK")))))))</f>
        <v/>
      </c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9" t="n"/>
      <c r="N191" s="8" t="n"/>
      <c r="O191" s="8" t="n"/>
      <c r="P191" s="9" t="n"/>
      <c r="Q191" s="8" t="n"/>
      <c r="R191" s="8" t="n"/>
      <c r="S191" s="8" t="n"/>
      <c r="T191" s="8" t="n"/>
      <c r="U191" s="8" t="n"/>
      <c r="V191" s="11">
        <f>IF(C191="","",IFERROR(INDEX(Catalogo!$C$5:$C$129,MATCH(C191,Catalogo!$A$5:$A$129,0)),"Código no existe"))</f>
        <v/>
      </c>
      <c r="W191" s="11">
        <f>IF(C191="","",IFERROR(INDEX(Catalogo!$G$5:$G$129,MATCH(C191,Catalogo!$A$5:$A$129,0)),""))</f>
        <v/>
      </c>
      <c r="X191" s="12">
        <f>IF(C191="","",IF(ISNUMBER(F191),F191,IF(AND(ISNUMBER(D191),ISNUMBER(E191),E191&gt;0),D191/E191*IF(W191="%",100,1),IF(ISNUMBER(D191),D191,""))))</f>
        <v/>
      </c>
      <c r="Y191" s="11">
        <f>IF(C191="","",IF(A191="","Falta periodo",IF(COUNTIF(Listas!$A$2:$A$134,A191)=0,"Periodo no válido",IF(X191="","Falta valor",IF(I191="","Falta fuente: no se mostrará",IF(AND(J191="",K191=""),"Sin evidencia",IF(N191&lt;&gt;"Validado","Sin validar","OK")))))))</f>
        <v/>
      </c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9" t="n"/>
      <c r="N192" s="8" t="n"/>
      <c r="O192" s="8" t="n"/>
      <c r="P192" s="9" t="n"/>
      <c r="Q192" s="8" t="n"/>
      <c r="R192" s="8" t="n"/>
      <c r="S192" s="8" t="n"/>
      <c r="T192" s="8" t="n"/>
      <c r="U192" s="8" t="n"/>
      <c r="V192" s="11">
        <f>IF(C192="","",IFERROR(INDEX(Catalogo!$C$5:$C$129,MATCH(C192,Catalogo!$A$5:$A$129,0)),"Código no existe"))</f>
        <v/>
      </c>
      <c r="W192" s="11">
        <f>IF(C192="","",IFERROR(INDEX(Catalogo!$G$5:$G$129,MATCH(C192,Catalogo!$A$5:$A$129,0)),""))</f>
        <v/>
      </c>
      <c r="X192" s="12">
        <f>IF(C192="","",IF(ISNUMBER(F192),F192,IF(AND(ISNUMBER(D192),ISNUMBER(E192),E192&gt;0),D192/E192*IF(W192="%",100,1),IF(ISNUMBER(D192),D192,""))))</f>
        <v/>
      </c>
      <c r="Y192" s="11">
        <f>IF(C192="","",IF(A192="","Falta periodo",IF(COUNTIF(Listas!$A$2:$A$134,A192)=0,"Periodo no válido",IF(X192="","Falta valor",IF(I192="","Falta fuente: no se mostrará",IF(AND(J192="",K192=""),"Sin evidencia",IF(N192&lt;&gt;"Validado","Sin validar","OK")))))))</f>
        <v/>
      </c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9" t="n"/>
      <c r="N193" s="8" t="n"/>
      <c r="O193" s="8" t="n"/>
      <c r="P193" s="9" t="n"/>
      <c r="Q193" s="8" t="n"/>
      <c r="R193" s="8" t="n"/>
      <c r="S193" s="8" t="n"/>
      <c r="T193" s="8" t="n"/>
      <c r="U193" s="8" t="n"/>
      <c r="V193" s="11">
        <f>IF(C193="","",IFERROR(INDEX(Catalogo!$C$5:$C$129,MATCH(C193,Catalogo!$A$5:$A$129,0)),"Código no existe"))</f>
        <v/>
      </c>
      <c r="W193" s="11">
        <f>IF(C193="","",IFERROR(INDEX(Catalogo!$G$5:$G$129,MATCH(C193,Catalogo!$A$5:$A$129,0)),""))</f>
        <v/>
      </c>
      <c r="X193" s="12">
        <f>IF(C193="","",IF(ISNUMBER(F193),F193,IF(AND(ISNUMBER(D193),ISNUMBER(E193),E193&gt;0),D193/E193*IF(W193="%",100,1),IF(ISNUMBER(D193),D193,""))))</f>
        <v/>
      </c>
      <c r="Y193" s="11">
        <f>IF(C193="","",IF(A193="","Falta periodo",IF(COUNTIF(Listas!$A$2:$A$134,A193)=0,"Periodo no válido",IF(X193="","Falta valor",IF(I193="","Falta fuente: no se mostrará",IF(AND(J193="",K193=""),"Sin evidencia",IF(N193&lt;&gt;"Validado","Sin validar","OK")))))))</f>
        <v/>
      </c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9" t="n"/>
      <c r="N194" s="8" t="n"/>
      <c r="O194" s="8" t="n"/>
      <c r="P194" s="9" t="n"/>
      <c r="Q194" s="8" t="n"/>
      <c r="R194" s="8" t="n"/>
      <c r="S194" s="8" t="n"/>
      <c r="T194" s="8" t="n"/>
      <c r="U194" s="8" t="n"/>
      <c r="V194" s="11">
        <f>IF(C194="","",IFERROR(INDEX(Catalogo!$C$5:$C$129,MATCH(C194,Catalogo!$A$5:$A$129,0)),"Código no existe"))</f>
        <v/>
      </c>
      <c r="W194" s="11">
        <f>IF(C194="","",IFERROR(INDEX(Catalogo!$G$5:$G$129,MATCH(C194,Catalogo!$A$5:$A$129,0)),""))</f>
        <v/>
      </c>
      <c r="X194" s="12">
        <f>IF(C194="","",IF(ISNUMBER(F194),F194,IF(AND(ISNUMBER(D194),ISNUMBER(E194),E194&gt;0),D194/E194*IF(W194="%",100,1),IF(ISNUMBER(D194),D194,""))))</f>
        <v/>
      </c>
      <c r="Y194" s="11">
        <f>IF(C194="","",IF(A194="","Falta periodo",IF(COUNTIF(Listas!$A$2:$A$134,A194)=0,"Periodo no válido",IF(X194="","Falta valor",IF(I194="","Falta fuente: no se mostrará",IF(AND(J194="",K194=""),"Sin evidencia",IF(N194&lt;&gt;"Validado","Sin validar","OK")))))))</f>
        <v/>
      </c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9" t="n"/>
      <c r="N195" s="8" t="n"/>
      <c r="O195" s="8" t="n"/>
      <c r="P195" s="9" t="n"/>
      <c r="Q195" s="8" t="n"/>
      <c r="R195" s="8" t="n"/>
      <c r="S195" s="8" t="n"/>
      <c r="T195" s="8" t="n"/>
      <c r="U195" s="8" t="n"/>
      <c r="V195" s="11">
        <f>IF(C195="","",IFERROR(INDEX(Catalogo!$C$5:$C$129,MATCH(C195,Catalogo!$A$5:$A$129,0)),"Código no existe"))</f>
        <v/>
      </c>
      <c r="W195" s="11">
        <f>IF(C195="","",IFERROR(INDEX(Catalogo!$G$5:$G$129,MATCH(C195,Catalogo!$A$5:$A$129,0)),""))</f>
        <v/>
      </c>
      <c r="X195" s="12">
        <f>IF(C195="","",IF(ISNUMBER(F195),F195,IF(AND(ISNUMBER(D195),ISNUMBER(E195),E195&gt;0),D195/E195*IF(W195="%",100,1),IF(ISNUMBER(D195),D195,""))))</f>
        <v/>
      </c>
      <c r="Y195" s="11">
        <f>IF(C195="","",IF(A195="","Falta periodo",IF(COUNTIF(Listas!$A$2:$A$134,A195)=0,"Periodo no válido",IF(X195="","Falta valor",IF(I195="","Falta fuente: no se mostrará",IF(AND(J195="",K195=""),"Sin evidencia",IF(N195&lt;&gt;"Validado","Sin validar","OK")))))))</f>
        <v/>
      </c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9" t="n"/>
      <c r="N196" s="8" t="n"/>
      <c r="O196" s="8" t="n"/>
      <c r="P196" s="9" t="n"/>
      <c r="Q196" s="8" t="n"/>
      <c r="R196" s="8" t="n"/>
      <c r="S196" s="8" t="n"/>
      <c r="T196" s="8" t="n"/>
      <c r="U196" s="8" t="n"/>
      <c r="V196" s="11">
        <f>IF(C196="","",IFERROR(INDEX(Catalogo!$C$5:$C$129,MATCH(C196,Catalogo!$A$5:$A$129,0)),"Código no existe"))</f>
        <v/>
      </c>
      <c r="W196" s="11">
        <f>IF(C196="","",IFERROR(INDEX(Catalogo!$G$5:$G$129,MATCH(C196,Catalogo!$A$5:$A$129,0)),""))</f>
        <v/>
      </c>
      <c r="X196" s="12">
        <f>IF(C196="","",IF(ISNUMBER(F196),F196,IF(AND(ISNUMBER(D196),ISNUMBER(E196),E196&gt;0),D196/E196*IF(W196="%",100,1),IF(ISNUMBER(D196),D196,""))))</f>
        <v/>
      </c>
      <c r="Y196" s="11">
        <f>IF(C196="","",IF(A196="","Falta periodo",IF(COUNTIF(Listas!$A$2:$A$134,A196)=0,"Periodo no válido",IF(X196="","Falta valor",IF(I196="","Falta fuente: no se mostrará",IF(AND(J196="",K196=""),"Sin evidencia",IF(N196&lt;&gt;"Validado","Sin validar","OK")))))))</f>
        <v/>
      </c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9" t="n"/>
      <c r="N197" s="8" t="n"/>
      <c r="O197" s="8" t="n"/>
      <c r="P197" s="9" t="n"/>
      <c r="Q197" s="8" t="n"/>
      <c r="R197" s="8" t="n"/>
      <c r="S197" s="8" t="n"/>
      <c r="T197" s="8" t="n"/>
      <c r="U197" s="8" t="n"/>
      <c r="V197" s="11">
        <f>IF(C197="","",IFERROR(INDEX(Catalogo!$C$5:$C$129,MATCH(C197,Catalogo!$A$5:$A$129,0)),"Código no existe"))</f>
        <v/>
      </c>
      <c r="W197" s="11">
        <f>IF(C197="","",IFERROR(INDEX(Catalogo!$G$5:$G$129,MATCH(C197,Catalogo!$A$5:$A$129,0)),""))</f>
        <v/>
      </c>
      <c r="X197" s="12">
        <f>IF(C197="","",IF(ISNUMBER(F197),F197,IF(AND(ISNUMBER(D197),ISNUMBER(E197),E197&gt;0),D197/E197*IF(W197="%",100,1),IF(ISNUMBER(D197),D197,""))))</f>
        <v/>
      </c>
      <c r="Y197" s="11">
        <f>IF(C197="","",IF(A197="","Falta periodo",IF(COUNTIF(Listas!$A$2:$A$134,A197)=0,"Periodo no válido",IF(X197="","Falta valor",IF(I197="","Falta fuente: no se mostrará",IF(AND(J197="",K197=""),"Sin evidencia",IF(N197&lt;&gt;"Validado","Sin validar","OK")))))))</f>
        <v/>
      </c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9" t="n"/>
      <c r="N198" s="8" t="n"/>
      <c r="O198" s="8" t="n"/>
      <c r="P198" s="9" t="n"/>
      <c r="Q198" s="8" t="n"/>
      <c r="R198" s="8" t="n"/>
      <c r="S198" s="8" t="n"/>
      <c r="T198" s="8" t="n"/>
      <c r="U198" s="8" t="n"/>
      <c r="V198" s="11">
        <f>IF(C198="","",IFERROR(INDEX(Catalogo!$C$5:$C$129,MATCH(C198,Catalogo!$A$5:$A$129,0)),"Código no existe"))</f>
        <v/>
      </c>
      <c r="W198" s="11">
        <f>IF(C198="","",IFERROR(INDEX(Catalogo!$G$5:$G$129,MATCH(C198,Catalogo!$A$5:$A$129,0)),""))</f>
        <v/>
      </c>
      <c r="X198" s="12">
        <f>IF(C198="","",IF(ISNUMBER(F198),F198,IF(AND(ISNUMBER(D198),ISNUMBER(E198),E198&gt;0),D198/E198*IF(W198="%",100,1),IF(ISNUMBER(D198),D198,""))))</f>
        <v/>
      </c>
      <c r="Y198" s="11">
        <f>IF(C198="","",IF(A198="","Falta periodo",IF(COUNTIF(Listas!$A$2:$A$134,A198)=0,"Periodo no válido",IF(X198="","Falta valor",IF(I198="","Falta fuente: no se mostrará",IF(AND(J198="",K198=""),"Sin evidencia",IF(N198&lt;&gt;"Validado","Sin validar","OK")))))))</f>
        <v/>
      </c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9" t="n"/>
      <c r="N199" s="8" t="n"/>
      <c r="O199" s="8" t="n"/>
      <c r="P199" s="9" t="n"/>
      <c r="Q199" s="8" t="n"/>
      <c r="R199" s="8" t="n"/>
      <c r="S199" s="8" t="n"/>
      <c r="T199" s="8" t="n"/>
      <c r="U199" s="8" t="n"/>
      <c r="V199" s="11">
        <f>IF(C199="","",IFERROR(INDEX(Catalogo!$C$5:$C$129,MATCH(C199,Catalogo!$A$5:$A$129,0)),"Código no existe"))</f>
        <v/>
      </c>
      <c r="W199" s="11">
        <f>IF(C199="","",IFERROR(INDEX(Catalogo!$G$5:$G$129,MATCH(C199,Catalogo!$A$5:$A$129,0)),""))</f>
        <v/>
      </c>
      <c r="X199" s="12">
        <f>IF(C199="","",IF(ISNUMBER(F199),F199,IF(AND(ISNUMBER(D199),ISNUMBER(E199),E199&gt;0),D199/E199*IF(W199="%",100,1),IF(ISNUMBER(D199),D199,""))))</f>
        <v/>
      </c>
      <c r="Y199" s="11">
        <f>IF(C199="","",IF(A199="","Falta periodo",IF(COUNTIF(Listas!$A$2:$A$134,A199)=0,"Periodo no válido",IF(X199="","Falta valor",IF(I199="","Falta fuente: no se mostrará",IF(AND(J199="",K199=""),"Sin evidencia",IF(N199&lt;&gt;"Validado","Sin validar","OK")))))))</f>
        <v/>
      </c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9" t="n"/>
      <c r="N200" s="8" t="n"/>
      <c r="O200" s="8" t="n"/>
      <c r="P200" s="9" t="n"/>
      <c r="Q200" s="8" t="n"/>
      <c r="R200" s="8" t="n"/>
      <c r="S200" s="8" t="n"/>
      <c r="T200" s="8" t="n"/>
      <c r="U200" s="8" t="n"/>
      <c r="V200" s="11">
        <f>IF(C200="","",IFERROR(INDEX(Catalogo!$C$5:$C$129,MATCH(C200,Catalogo!$A$5:$A$129,0)),"Código no existe"))</f>
        <v/>
      </c>
      <c r="W200" s="11">
        <f>IF(C200="","",IFERROR(INDEX(Catalogo!$G$5:$G$129,MATCH(C200,Catalogo!$A$5:$A$129,0)),""))</f>
        <v/>
      </c>
      <c r="X200" s="12">
        <f>IF(C200="","",IF(ISNUMBER(F200),F200,IF(AND(ISNUMBER(D200),ISNUMBER(E200),E200&gt;0),D200/E200*IF(W200="%",100,1),IF(ISNUMBER(D200),D200,""))))</f>
        <v/>
      </c>
      <c r="Y200" s="11">
        <f>IF(C200="","",IF(A200="","Falta periodo",IF(COUNTIF(Listas!$A$2:$A$134,A200)=0,"Periodo no válido",IF(X200="","Falta valor",IF(I200="","Falta fuente: no se mostrará",IF(AND(J200="",K200=""),"Sin evidencia",IF(N200&lt;&gt;"Validado","Sin validar","OK")))))))</f>
        <v/>
      </c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9" t="n"/>
      <c r="N201" s="8" t="n"/>
      <c r="O201" s="8" t="n"/>
      <c r="P201" s="9" t="n"/>
      <c r="Q201" s="8" t="n"/>
      <c r="R201" s="8" t="n"/>
      <c r="S201" s="8" t="n"/>
      <c r="T201" s="8" t="n"/>
      <c r="U201" s="8" t="n"/>
      <c r="V201" s="11">
        <f>IF(C201="","",IFERROR(INDEX(Catalogo!$C$5:$C$129,MATCH(C201,Catalogo!$A$5:$A$129,0)),"Código no existe"))</f>
        <v/>
      </c>
      <c r="W201" s="11">
        <f>IF(C201="","",IFERROR(INDEX(Catalogo!$G$5:$G$129,MATCH(C201,Catalogo!$A$5:$A$129,0)),""))</f>
        <v/>
      </c>
      <c r="X201" s="12">
        <f>IF(C201="","",IF(ISNUMBER(F201),F201,IF(AND(ISNUMBER(D201),ISNUMBER(E201),E201&gt;0),D201/E201*IF(W201="%",100,1),IF(ISNUMBER(D201),D201,""))))</f>
        <v/>
      </c>
      <c r="Y201" s="11">
        <f>IF(C201="","",IF(A201="","Falta periodo",IF(COUNTIF(Listas!$A$2:$A$134,A201)=0,"Periodo no válido",IF(X201="","Falta valor",IF(I201="","Falta fuente: no se mostrará",IF(AND(J201="",K201=""),"Sin evidencia",IF(N201&lt;&gt;"Validado","Sin validar","OK")))))))</f>
        <v/>
      </c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9" t="n"/>
      <c r="N202" s="8" t="n"/>
      <c r="O202" s="8" t="n"/>
      <c r="P202" s="9" t="n"/>
      <c r="Q202" s="8" t="n"/>
      <c r="R202" s="8" t="n"/>
      <c r="S202" s="8" t="n"/>
      <c r="T202" s="8" t="n"/>
      <c r="U202" s="8" t="n"/>
      <c r="V202" s="11">
        <f>IF(C202="","",IFERROR(INDEX(Catalogo!$C$5:$C$129,MATCH(C202,Catalogo!$A$5:$A$129,0)),"Código no existe"))</f>
        <v/>
      </c>
      <c r="W202" s="11">
        <f>IF(C202="","",IFERROR(INDEX(Catalogo!$G$5:$G$129,MATCH(C202,Catalogo!$A$5:$A$129,0)),""))</f>
        <v/>
      </c>
      <c r="X202" s="12">
        <f>IF(C202="","",IF(ISNUMBER(F202),F202,IF(AND(ISNUMBER(D202),ISNUMBER(E202),E202&gt;0),D202/E202*IF(W202="%",100,1),IF(ISNUMBER(D202),D202,""))))</f>
        <v/>
      </c>
      <c r="Y202" s="11">
        <f>IF(C202="","",IF(A202="","Falta periodo",IF(COUNTIF(Listas!$A$2:$A$134,A202)=0,"Periodo no válido",IF(X202="","Falta valor",IF(I202="","Falta fuente: no se mostrará",IF(AND(J202="",K202=""),"Sin evidencia",IF(N202&lt;&gt;"Validado","Sin validar","OK")))))))</f>
        <v/>
      </c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9" t="n"/>
      <c r="N203" s="8" t="n"/>
      <c r="O203" s="8" t="n"/>
      <c r="P203" s="9" t="n"/>
      <c r="Q203" s="8" t="n"/>
      <c r="R203" s="8" t="n"/>
      <c r="S203" s="8" t="n"/>
      <c r="T203" s="8" t="n"/>
      <c r="U203" s="8" t="n"/>
      <c r="V203" s="11">
        <f>IF(C203="","",IFERROR(INDEX(Catalogo!$C$5:$C$129,MATCH(C203,Catalogo!$A$5:$A$129,0)),"Código no existe"))</f>
        <v/>
      </c>
      <c r="W203" s="11">
        <f>IF(C203="","",IFERROR(INDEX(Catalogo!$G$5:$G$129,MATCH(C203,Catalogo!$A$5:$A$129,0)),""))</f>
        <v/>
      </c>
      <c r="X203" s="12">
        <f>IF(C203="","",IF(ISNUMBER(F203),F203,IF(AND(ISNUMBER(D203),ISNUMBER(E203),E203&gt;0),D203/E203*IF(W203="%",100,1),IF(ISNUMBER(D203),D203,""))))</f>
        <v/>
      </c>
      <c r="Y203" s="11">
        <f>IF(C203="","",IF(A203="","Falta periodo",IF(COUNTIF(Listas!$A$2:$A$134,A203)=0,"Periodo no válido",IF(X203="","Falta valor",IF(I203="","Falta fuente: no se mostrará",IF(AND(J203="",K203=""),"Sin evidencia",IF(N203&lt;&gt;"Validado","Sin validar","OK")))))))</f>
        <v/>
      </c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9" t="n"/>
      <c r="N204" s="8" t="n"/>
      <c r="O204" s="8" t="n"/>
      <c r="P204" s="9" t="n"/>
      <c r="Q204" s="8" t="n"/>
      <c r="R204" s="8" t="n"/>
      <c r="S204" s="8" t="n"/>
      <c r="T204" s="8" t="n"/>
      <c r="U204" s="8" t="n"/>
      <c r="V204" s="11">
        <f>IF(C204="","",IFERROR(INDEX(Catalogo!$C$5:$C$129,MATCH(C204,Catalogo!$A$5:$A$129,0)),"Código no existe"))</f>
        <v/>
      </c>
      <c r="W204" s="11">
        <f>IF(C204="","",IFERROR(INDEX(Catalogo!$G$5:$G$129,MATCH(C204,Catalogo!$A$5:$A$129,0)),""))</f>
        <v/>
      </c>
      <c r="X204" s="12">
        <f>IF(C204="","",IF(ISNUMBER(F204),F204,IF(AND(ISNUMBER(D204),ISNUMBER(E204),E204&gt;0),D204/E204*IF(W204="%",100,1),IF(ISNUMBER(D204),D204,""))))</f>
        <v/>
      </c>
      <c r="Y204" s="11">
        <f>IF(C204="","",IF(A204="","Falta periodo",IF(COUNTIF(Listas!$A$2:$A$134,A204)=0,"Periodo no válido",IF(X204="","Falta valor",IF(I204="","Falta fuente: no se mostrará",IF(AND(J204="",K204=""),"Sin evidencia",IF(N204&lt;&gt;"Validado","Sin validar","OK")))))))</f>
        <v/>
      </c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9" t="n"/>
      <c r="N205" s="8" t="n"/>
      <c r="O205" s="8" t="n"/>
      <c r="P205" s="9" t="n"/>
      <c r="Q205" s="8" t="n"/>
      <c r="R205" s="8" t="n"/>
      <c r="S205" s="8" t="n"/>
      <c r="T205" s="8" t="n"/>
      <c r="U205" s="8" t="n"/>
      <c r="V205" s="11">
        <f>IF(C205="","",IFERROR(INDEX(Catalogo!$C$5:$C$129,MATCH(C205,Catalogo!$A$5:$A$129,0)),"Código no existe"))</f>
        <v/>
      </c>
      <c r="W205" s="11">
        <f>IF(C205="","",IFERROR(INDEX(Catalogo!$G$5:$G$129,MATCH(C205,Catalogo!$A$5:$A$129,0)),""))</f>
        <v/>
      </c>
      <c r="X205" s="12">
        <f>IF(C205="","",IF(ISNUMBER(F205),F205,IF(AND(ISNUMBER(D205),ISNUMBER(E205),E205&gt;0),D205/E205*IF(W205="%",100,1),IF(ISNUMBER(D205),D205,""))))</f>
        <v/>
      </c>
      <c r="Y205" s="11">
        <f>IF(C205="","",IF(A205="","Falta periodo",IF(COUNTIF(Listas!$A$2:$A$134,A205)=0,"Periodo no válido",IF(X205="","Falta valor",IF(I205="","Falta fuente: no se mostrará",IF(AND(J205="",K205=""),"Sin evidencia",IF(N205&lt;&gt;"Validado","Sin validar","OK")))))))</f>
        <v/>
      </c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9" t="n"/>
      <c r="N206" s="8" t="n"/>
      <c r="O206" s="8" t="n"/>
      <c r="P206" s="9" t="n"/>
      <c r="Q206" s="8" t="n"/>
      <c r="R206" s="8" t="n"/>
      <c r="S206" s="8" t="n"/>
      <c r="T206" s="8" t="n"/>
      <c r="U206" s="8" t="n"/>
      <c r="V206" s="11">
        <f>IF(C206="","",IFERROR(INDEX(Catalogo!$C$5:$C$129,MATCH(C206,Catalogo!$A$5:$A$129,0)),"Código no existe"))</f>
        <v/>
      </c>
      <c r="W206" s="11">
        <f>IF(C206="","",IFERROR(INDEX(Catalogo!$G$5:$G$129,MATCH(C206,Catalogo!$A$5:$A$129,0)),""))</f>
        <v/>
      </c>
      <c r="X206" s="12">
        <f>IF(C206="","",IF(ISNUMBER(F206),F206,IF(AND(ISNUMBER(D206),ISNUMBER(E206),E206&gt;0),D206/E206*IF(W206="%",100,1),IF(ISNUMBER(D206),D206,""))))</f>
        <v/>
      </c>
      <c r="Y206" s="11">
        <f>IF(C206="","",IF(A206="","Falta periodo",IF(COUNTIF(Listas!$A$2:$A$134,A206)=0,"Periodo no válido",IF(X206="","Falta valor",IF(I206="","Falta fuente: no se mostrará",IF(AND(J206="",K206=""),"Sin evidencia",IF(N206&lt;&gt;"Validado","Sin validar","OK")))))))</f>
        <v/>
      </c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9" t="n"/>
      <c r="N207" s="8" t="n"/>
      <c r="O207" s="8" t="n"/>
      <c r="P207" s="9" t="n"/>
      <c r="Q207" s="8" t="n"/>
      <c r="R207" s="8" t="n"/>
      <c r="S207" s="8" t="n"/>
      <c r="T207" s="8" t="n"/>
      <c r="U207" s="8" t="n"/>
      <c r="V207" s="11">
        <f>IF(C207="","",IFERROR(INDEX(Catalogo!$C$5:$C$129,MATCH(C207,Catalogo!$A$5:$A$129,0)),"Código no existe"))</f>
        <v/>
      </c>
      <c r="W207" s="11">
        <f>IF(C207="","",IFERROR(INDEX(Catalogo!$G$5:$G$129,MATCH(C207,Catalogo!$A$5:$A$129,0)),""))</f>
        <v/>
      </c>
      <c r="X207" s="12">
        <f>IF(C207="","",IF(ISNUMBER(F207),F207,IF(AND(ISNUMBER(D207),ISNUMBER(E207),E207&gt;0),D207/E207*IF(W207="%",100,1),IF(ISNUMBER(D207),D207,""))))</f>
        <v/>
      </c>
      <c r="Y207" s="11">
        <f>IF(C207="","",IF(A207="","Falta periodo",IF(COUNTIF(Listas!$A$2:$A$134,A207)=0,"Periodo no válido",IF(X207="","Falta valor",IF(I207="","Falta fuente: no se mostrará",IF(AND(J207="",K207=""),"Sin evidencia",IF(N207&lt;&gt;"Validado","Sin validar","OK")))))))</f>
        <v/>
      </c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9" t="n"/>
      <c r="N208" s="8" t="n"/>
      <c r="O208" s="8" t="n"/>
      <c r="P208" s="9" t="n"/>
      <c r="Q208" s="8" t="n"/>
      <c r="R208" s="8" t="n"/>
      <c r="S208" s="8" t="n"/>
      <c r="T208" s="8" t="n"/>
      <c r="U208" s="8" t="n"/>
      <c r="V208" s="11">
        <f>IF(C208="","",IFERROR(INDEX(Catalogo!$C$5:$C$129,MATCH(C208,Catalogo!$A$5:$A$129,0)),"Código no existe"))</f>
        <v/>
      </c>
      <c r="W208" s="11">
        <f>IF(C208="","",IFERROR(INDEX(Catalogo!$G$5:$G$129,MATCH(C208,Catalogo!$A$5:$A$129,0)),""))</f>
        <v/>
      </c>
      <c r="X208" s="12">
        <f>IF(C208="","",IF(ISNUMBER(F208),F208,IF(AND(ISNUMBER(D208),ISNUMBER(E208),E208&gt;0),D208/E208*IF(W208="%",100,1),IF(ISNUMBER(D208),D208,""))))</f>
        <v/>
      </c>
      <c r="Y208" s="11">
        <f>IF(C208="","",IF(A208="","Falta periodo",IF(COUNTIF(Listas!$A$2:$A$134,A208)=0,"Periodo no válido",IF(X208="","Falta valor",IF(I208="","Falta fuente: no se mostrará",IF(AND(J208="",K208=""),"Sin evidencia",IF(N208&lt;&gt;"Validado","Sin validar","OK")))))))</f>
        <v/>
      </c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9" t="n"/>
      <c r="N209" s="8" t="n"/>
      <c r="O209" s="8" t="n"/>
      <c r="P209" s="9" t="n"/>
      <c r="Q209" s="8" t="n"/>
      <c r="R209" s="8" t="n"/>
      <c r="S209" s="8" t="n"/>
      <c r="T209" s="8" t="n"/>
      <c r="U209" s="8" t="n"/>
      <c r="V209" s="11">
        <f>IF(C209="","",IFERROR(INDEX(Catalogo!$C$5:$C$129,MATCH(C209,Catalogo!$A$5:$A$129,0)),"Código no existe"))</f>
        <v/>
      </c>
      <c r="W209" s="11">
        <f>IF(C209="","",IFERROR(INDEX(Catalogo!$G$5:$G$129,MATCH(C209,Catalogo!$A$5:$A$129,0)),""))</f>
        <v/>
      </c>
      <c r="X209" s="12">
        <f>IF(C209="","",IF(ISNUMBER(F209),F209,IF(AND(ISNUMBER(D209),ISNUMBER(E209),E209&gt;0),D209/E209*IF(W209="%",100,1),IF(ISNUMBER(D209),D209,""))))</f>
        <v/>
      </c>
      <c r="Y209" s="11">
        <f>IF(C209="","",IF(A209="","Falta periodo",IF(COUNTIF(Listas!$A$2:$A$134,A209)=0,"Periodo no válido",IF(X209="","Falta valor",IF(I209="","Falta fuente: no se mostrará",IF(AND(J209="",K209=""),"Sin evidencia",IF(N209&lt;&gt;"Validado","Sin validar","OK")))))))</f>
        <v/>
      </c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9" t="n"/>
      <c r="N210" s="8" t="n"/>
      <c r="O210" s="8" t="n"/>
      <c r="P210" s="9" t="n"/>
      <c r="Q210" s="8" t="n"/>
      <c r="R210" s="8" t="n"/>
      <c r="S210" s="8" t="n"/>
      <c r="T210" s="8" t="n"/>
      <c r="U210" s="8" t="n"/>
      <c r="V210" s="11">
        <f>IF(C210="","",IFERROR(INDEX(Catalogo!$C$5:$C$129,MATCH(C210,Catalogo!$A$5:$A$129,0)),"Código no existe"))</f>
        <v/>
      </c>
      <c r="W210" s="11">
        <f>IF(C210="","",IFERROR(INDEX(Catalogo!$G$5:$G$129,MATCH(C210,Catalogo!$A$5:$A$129,0)),""))</f>
        <v/>
      </c>
      <c r="X210" s="12">
        <f>IF(C210="","",IF(ISNUMBER(F210),F210,IF(AND(ISNUMBER(D210),ISNUMBER(E210),E210&gt;0),D210/E210*IF(W210="%",100,1),IF(ISNUMBER(D210),D210,""))))</f>
        <v/>
      </c>
      <c r="Y210" s="11">
        <f>IF(C210="","",IF(A210="","Falta periodo",IF(COUNTIF(Listas!$A$2:$A$134,A210)=0,"Periodo no válido",IF(X210="","Falta valor",IF(I210="","Falta fuente: no se mostrará",IF(AND(J210="",K210=""),"Sin evidencia",IF(N210&lt;&gt;"Validado","Sin validar","OK")))))))</f>
        <v/>
      </c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9" t="n"/>
      <c r="N211" s="8" t="n"/>
      <c r="O211" s="8" t="n"/>
      <c r="P211" s="9" t="n"/>
      <c r="Q211" s="8" t="n"/>
      <c r="R211" s="8" t="n"/>
      <c r="S211" s="8" t="n"/>
      <c r="T211" s="8" t="n"/>
      <c r="U211" s="8" t="n"/>
      <c r="V211" s="11">
        <f>IF(C211="","",IFERROR(INDEX(Catalogo!$C$5:$C$129,MATCH(C211,Catalogo!$A$5:$A$129,0)),"Código no existe"))</f>
        <v/>
      </c>
      <c r="W211" s="11">
        <f>IF(C211="","",IFERROR(INDEX(Catalogo!$G$5:$G$129,MATCH(C211,Catalogo!$A$5:$A$129,0)),""))</f>
        <v/>
      </c>
      <c r="X211" s="12">
        <f>IF(C211="","",IF(ISNUMBER(F211),F211,IF(AND(ISNUMBER(D211),ISNUMBER(E211),E211&gt;0),D211/E211*IF(W211="%",100,1),IF(ISNUMBER(D211),D211,""))))</f>
        <v/>
      </c>
      <c r="Y211" s="11">
        <f>IF(C211="","",IF(A211="","Falta periodo",IF(COUNTIF(Listas!$A$2:$A$134,A211)=0,"Periodo no válido",IF(X211="","Falta valor",IF(I211="","Falta fuente: no se mostrará",IF(AND(J211="",K211=""),"Sin evidencia",IF(N211&lt;&gt;"Validado","Sin validar","OK")))))))</f>
        <v/>
      </c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9" t="n"/>
      <c r="N212" s="8" t="n"/>
      <c r="O212" s="8" t="n"/>
      <c r="P212" s="9" t="n"/>
      <c r="Q212" s="8" t="n"/>
      <c r="R212" s="8" t="n"/>
      <c r="S212" s="8" t="n"/>
      <c r="T212" s="8" t="n"/>
      <c r="U212" s="8" t="n"/>
      <c r="V212" s="11">
        <f>IF(C212="","",IFERROR(INDEX(Catalogo!$C$5:$C$129,MATCH(C212,Catalogo!$A$5:$A$129,0)),"Código no existe"))</f>
        <v/>
      </c>
      <c r="W212" s="11">
        <f>IF(C212="","",IFERROR(INDEX(Catalogo!$G$5:$G$129,MATCH(C212,Catalogo!$A$5:$A$129,0)),""))</f>
        <v/>
      </c>
      <c r="X212" s="12">
        <f>IF(C212="","",IF(ISNUMBER(F212),F212,IF(AND(ISNUMBER(D212),ISNUMBER(E212),E212&gt;0),D212/E212*IF(W212="%",100,1),IF(ISNUMBER(D212),D212,""))))</f>
        <v/>
      </c>
      <c r="Y212" s="11">
        <f>IF(C212="","",IF(A212="","Falta periodo",IF(COUNTIF(Listas!$A$2:$A$134,A212)=0,"Periodo no válido",IF(X212="","Falta valor",IF(I212="","Falta fuente: no se mostrará",IF(AND(J212="",K212=""),"Sin evidencia",IF(N212&lt;&gt;"Validado","Sin validar","OK")))))))</f>
        <v/>
      </c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9" t="n"/>
      <c r="N213" s="8" t="n"/>
      <c r="O213" s="8" t="n"/>
      <c r="P213" s="9" t="n"/>
      <c r="Q213" s="8" t="n"/>
      <c r="R213" s="8" t="n"/>
      <c r="S213" s="8" t="n"/>
      <c r="T213" s="8" t="n"/>
      <c r="U213" s="8" t="n"/>
      <c r="V213" s="11">
        <f>IF(C213="","",IFERROR(INDEX(Catalogo!$C$5:$C$129,MATCH(C213,Catalogo!$A$5:$A$129,0)),"Código no existe"))</f>
        <v/>
      </c>
      <c r="W213" s="11">
        <f>IF(C213="","",IFERROR(INDEX(Catalogo!$G$5:$G$129,MATCH(C213,Catalogo!$A$5:$A$129,0)),""))</f>
        <v/>
      </c>
      <c r="X213" s="12">
        <f>IF(C213="","",IF(ISNUMBER(F213),F213,IF(AND(ISNUMBER(D213),ISNUMBER(E213),E213&gt;0),D213/E213*IF(W213="%",100,1),IF(ISNUMBER(D213),D213,""))))</f>
        <v/>
      </c>
      <c r="Y213" s="11">
        <f>IF(C213="","",IF(A213="","Falta periodo",IF(COUNTIF(Listas!$A$2:$A$134,A213)=0,"Periodo no válido",IF(X213="","Falta valor",IF(I213="","Falta fuente: no se mostrará",IF(AND(J213="",K213=""),"Sin evidencia",IF(N213&lt;&gt;"Validado","Sin validar","OK")))))))</f>
        <v/>
      </c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9" t="n"/>
      <c r="N214" s="8" t="n"/>
      <c r="O214" s="8" t="n"/>
      <c r="P214" s="9" t="n"/>
      <c r="Q214" s="8" t="n"/>
      <c r="R214" s="8" t="n"/>
      <c r="S214" s="8" t="n"/>
      <c r="T214" s="8" t="n"/>
      <c r="U214" s="8" t="n"/>
      <c r="V214" s="11">
        <f>IF(C214="","",IFERROR(INDEX(Catalogo!$C$5:$C$129,MATCH(C214,Catalogo!$A$5:$A$129,0)),"Código no existe"))</f>
        <v/>
      </c>
      <c r="W214" s="11">
        <f>IF(C214="","",IFERROR(INDEX(Catalogo!$G$5:$G$129,MATCH(C214,Catalogo!$A$5:$A$129,0)),""))</f>
        <v/>
      </c>
      <c r="X214" s="12">
        <f>IF(C214="","",IF(ISNUMBER(F214),F214,IF(AND(ISNUMBER(D214),ISNUMBER(E214),E214&gt;0),D214/E214*IF(W214="%",100,1),IF(ISNUMBER(D214),D214,""))))</f>
        <v/>
      </c>
      <c r="Y214" s="11">
        <f>IF(C214="","",IF(A214="","Falta periodo",IF(COUNTIF(Listas!$A$2:$A$134,A214)=0,"Periodo no válido",IF(X214="","Falta valor",IF(I214="","Falta fuente: no se mostrará",IF(AND(J214="",K214=""),"Sin evidencia",IF(N214&lt;&gt;"Validado","Sin validar","OK")))))))</f>
        <v/>
      </c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9" t="n"/>
      <c r="N215" s="8" t="n"/>
      <c r="O215" s="8" t="n"/>
      <c r="P215" s="9" t="n"/>
      <c r="Q215" s="8" t="n"/>
      <c r="R215" s="8" t="n"/>
      <c r="S215" s="8" t="n"/>
      <c r="T215" s="8" t="n"/>
      <c r="U215" s="8" t="n"/>
      <c r="V215" s="11">
        <f>IF(C215="","",IFERROR(INDEX(Catalogo!$C$5:$C$129,MATCH(C215,Catalogo!$A$5:$A$129,0)),"Código no existe"))</f>
        <v/>
      </c>
      <c r="W215" s="11">
        <f>IF(C215="","",IFERROR(INDEX(Catalogo!$G$5:$G$129,MATCH(C215,Catalogo!$A$5:$A$129,0)),""))</f>
        <v/>
      </c>
      <c r="X215" s="12">
        <f>IF(C215="","",IF(ISNUMBER(F215),F215,IF(AND(ISNUMBER(D215),ISNUMBER(E215),E215&gt;0),D215/E215*IF(W215="%",100,1),IF(ISNUMBER(D215),D215,""))))</f>
        <v/>
      </c>
      <c r="Y215" s="11">
        <f>IF(C215="","",IF(A215="","Falta periodo",IF(COUNTIF(Listas!$A$2:$A$134,A215)=0,"Periodo no válido",IF(X215="","Falta valor",IF(I215="","Falta fuente: no se mostrará",IF(AND(J215="",K215=""),"Sin evidencia",IF(N215&lt;&gt;"Validado","Sin validar","OK")))))))</f>
        <v/>
      </c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9" t="n"/>
      <c r="N216" s="8" t="n"/>
      <c r="O216" s="8" t="n"/>
      <c r="P216" s="9" t="n"/>
      <c r="Q216" s="8" t="n"/>
      <c r="R216" s="8" t="n"/>
      <c r="S216" s="8" t="n"/>
      <c r="T216" s="8" t="n"/>
      <c r="U216" s="8" t="n"/>
      <c r="V216" s="11">
        <f>IF(C216="","",IFERROR(INDEX(Catalogo!$C$5:$C$129,MATCH(C216,Catalogo!$A$5:$A$129,0)),"Código no existe"))</f>
        <v/>
      </c>
      <c r="W216" s="11">
        <f>IF(C216="","",IFERROR(INDEX(Catalogo!$G$5:$G$129,MATCH(C216,Catalogo!$A$5:$A$129,0)),""))</f>
        <v/>
      </c>
      <c r="X216" s="12">
        <f>IF(C216="","",IF(ISNUMBER(F216),F216,IF(AND(ISNUMBER(D216),ISNUMBER(E216),E216&gt;0),D216/E216*IF(W216="%",100,1),IF(ISNUMBER(D216),D216,""))))</f>
        <v/>
      </c>
      <c r="Y216" s="11">
        <f>IF(C216="","",IF(A216="","Falta periodo",IF(COUNTIF(Listas!$A$2:$A$134,A216)=0,"Periodo no válido",IF(X216="","Falta valor",IF(I216="","Falta fuente: no se mostrará",IF(AND(J216="",K216=""),"Sin evidencia",IF(N216&lt;&gt;"Validado","Sin validar","OK")))))))</f>
        <v/>
      </c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9" t="n"/>
      <c r="N217" s="8" t="n"/>
      <c r="O217" s="8" t="n"/>
      <c r="P217" s="9" t="n"/>
      <c r="Q217" s="8" t="n"/>
      <c r="R217" s="8" t="n"/>
      <c r="S217" s="8" t="n"/>
      <c r="T217" s="8" t="n"/>
      <c r="U217" s="8" t="n"/>
      <c r="V217" s="11">
        <f>IF(C217="","",IFERROR(INDEX(Catalogo!$C$5:$C$129,MATCH(C217,Catalogo!$A$5:$A$129,0)),"Código no existe"))</f>
        <v/>
      </c>
      <c r="W217" s="11">
        <f>IF(C217="","",IFERROR(INDEX(Catalogo!$G$5:$G$129,MATCH(C217,Catalogo!$A$5:$A$129,0)),""))</f>
        <v/>
      </c>
      <c r="X217" s="12">
        <f>IF(C217="","",IF(ISNUMBER(F217),F217,IF(AND(ISNUMBER(D217),ISNUMBER(E217),E217&gt;0),D217/E217*IF(W217="%",100,1),IF(ISNUMBER(D217),D217,""))))</f>
        <v/>
      </c>
      <c r="Y217" s="11">
        <f>IF(C217="","",IF(A217="","Falta periodo",IF(COUNTIF(Listas!$A$2:$A$134,A217)=0,"Periodo no válido",IF(X217="","Falta valor",IF(I217="","Falta fuente: no se mostrará",IF(AND(J217="",K217=""),"Sin evidencia",IF(N217&lt;&gt;"Validado","Sin validar","OK")))))))</f>
        <v/>
      </c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9" t="n"/>
      <c r="N218" s="8" t="n"/>
      <c r="O218" s="8" t="n"/>
      <c r="P218" s="9" t="n"/>
      <c r="Q218" s="8" t="n"/>
      <c r="R218" s="8" t="n"/>
      <c r="S218" s="8" t="n"/>
      <c r="T218" s="8" t="n"/>
      <c r="U218" s="8" t="n"/>
      <c r="V218" s="11">
        <f>IF(C218="","",IFERROR(INDEX(Catalogo!$C$5:$C$129,MATCH(C218,Catalogo!$A$5:$A$129,0)),"Código no existe"))</f>
        <v/>
      </c>
      <c r="W218" s="11">
        <f>IF(C218="","",IFERROR(INDEX(Catalogo!$G$5:$G$129,MATCH(C218,Catalogo!$A$5:$A$129,0)),""))</f>
        <v/>
      </c>
      <c r="X218" s="12">
        <f>IF(C218="","",IF(ISNUMBER(F218),F218,IF(AND(ISNUMBER(D218),ISNUMBER(E218),E218&gt;0),D218/E218*IF(W218="%",100,1),IF(ISNUMBER(D218),D218,""))))</f>
        <v/>
      </c>
      <c r="Y218" s="11">
        <f>IF(C218="","",IF(A218="","Falta periodo",IF(COUNTIF(Listas!$A$2:$A$134,A218)=0,"Periodo no válido",IF(X218="","Falta valor",IF(I218="","Falta fuente: no se mostrará",IF(AND(J218="",K218=""),"Sin evidencia",IF(N218&lt;&gt;"Validado","Sin validar","OK")))))))</f>
        <v/>
      </c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9" t="n"/>
      <c r="N219" s="8" t="n"/>
      <c r="O219" s="8" t="n"/>
      <c r="P219" s="9" t="n"/>
      <c r="Q219" s="8" t="n"/>
      <c r="R219" s="8" t="n"/>
      <c r="S219" s="8" t="n"/>
      <c r="T219" s="8" t="n"/>
      <c r="U219" s="8" t="n"/>
      <c r="V219" s="11">
        <f>IF(C219="","",IFERROR(INDEX(Catalogo!$C$5:$C$129,MATCH(C219,Catalogo!$A$5:$A$129,0)),"Código no existe"))</f>
        <v/>
      </c>
      <c r="W219" s="11">
        <f>IF(C219="","",IFERROR(INDEX(Catalogo!$G$5:$G$129,MATCH(C219,Catalogo!$A$5:$A$129,0)),""))</f>
        <v/>
      </c>
      <c r="X219" s="12">
        <f>IF(C219="","",IF(ISNUMBER(F219),F219,IF(AND(ISNUMBER(D219),ISNUMBER(E219),E219&gt;0),D219/E219*IF(W219="%",100,1),IF(ISNUMBER(D219),D219,""))))</f>
        <v/>
      </c>
      <c r="Y219" s="11">
        <f>IF(C219="","",IF(A219="","Falta periodo",IF(COUNTIF(Listas!$A$2:$A$134,A219)=0,"Periodo no válido",IF(X219="","Falta valor",IF(I219="","Falta fuente: no se mostrará",IF(AND(J219="",K219=""),"Sin evidencia",IF(N219&lt;&gt;"Validado","Sin validar","OK")))))))</f>
        <v/>
      </c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9" t="n"/>
      <c r="N220" s="8" t="n"/>
      <c r="O220" s="8" t="n"/>
      <c r="P220" s="9" t="n"/>
      <c r="Q220" s="8" t="n"/>
      <c r="R220" s="8" t="n"/>
      <c r="S220" s="8" t="n"/>
      <c r="T220" s="8" t="n"/>
      <c r="U220" s="8" t="n"/>
      <c r="V220" s="11">
        <f>IF(C220="","",IFERROR(INDEX(Catalogo!$C$5:$C$129,MATCH(C220,Catalogo!$A$5:$A$129,0)),"Código no existe"))</f>
        <v/>
      </c>
      <c r="W220" s="11">
        <f>IF(C220="","",IFERROR(INDEX(Catalogo!$G$5:$G$129,MATCH(C220,Catalogo!$A$5:$A$129,0)),""))</f>
        <v/>
      </c>
      <c r="X220" s="12">
        <f>IF(C220="","",IF(ISNUMBER(F220),F220,IF(AND(ISNUMBER(D220),ISNUMBER(E220),E220&gt;0),D220/E220*IF(W220="%",100,1),IF(ISNUMBER(D220),D220,""))))</f>
        <v/>
      </c>
      <c r="Y220" s="11">
        <f>IF(C220="","",IF(A220="","Falta periodo",IF(COUNTIF(Listas!$A$2:$A$134,A220)=0,"Periodo no válido",IF(X220="","Falta valor",IF(I220="","Falta fuente: no se mostrará",IF(AND(J220="",K220=""),"Sin evidencia",IF(N220&lt;&gt;"Validado","Sin validar","OK")))))))</f>
        <v/>
      </c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9" t="n"/>
      <c r="N221" s="8" t="n"/>
      <c r="O221" s="8" t="n"/>
      <c r="P221" s="9" t="n"/>
      <c r="Q221" s="8" t="n"/>
      <c r="R221" s="8" t="n"/>
      <c r="S221" s="8" t="n"/>
      <c r="T221" s="8" t="n"/>
      <c r="U221" s="8" t="n"/>
      <c r="V221" s="11">
        <f>IF(C221="","",IFERROR(INDEX(Catalogo!$C$5:$C$129,MATCH(C221,Catalogo!$A$5:$A$129,0)),"Código no existe"))</f>
        <v/>
      </c>
      <c r="W221" s="11">
        <f>IF(C221="","",IFERROR(INDEX(Catalogo!$G$5:$G$129,MATCH(C221,Catalogo!$A$5:$A$129,0)),""))</f>
        <v/>
      </c>
      <c r="X221" s="12">
        <f>IF(C221="","",IF(ISNUMBER(F221),F221,IF(AND(ISNUMBER(D221),ISNUMBER(E221),E221&gt;0),D221/E221*IF(W221="%",100,1),IF(ISNUMBER(D221),D221,""))))</f>
        <v/>
      </c>
      <c r="Y221" s="11">
        <f>IF(C221="","",IF(A221="","Falta periodo",IF(COUNTIF(Listas!$A$2:$A$134,A221)=0,"Periodo no válido",IF(X221="","Falta valor",IF(I221="","Falta fuente: no se mostrará",IF(AND(J221="",K221=""),"Sin evidencia",IF(N221&lt;&gt;"Validado","Sin validar","OK")))))))</f>
        <v/>
      </c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9" t="n"/>
      <c r="N222" s="8" t="n"/>
      <c r="O222" s="8" t="n"/>
      <c r="P222" s="9" t="n"/>
      <c r="Q222" s="8" t="n"/>
      <c r="R222" s="8" t="n"/>
      <c r="S222" s="8" t="n"/>
      <c r="T222" s="8" t="n"/>
      <c r="U222" s="8" t="n"/>
      <c r="V222" s="11">
        <f>IF(C222="","",IFERROR(INDEX(Catalogo!$C$5:$C$129,MATCH(C222,Catalogo!$A$5:$A$129,0)),"Código no existe"))</f>
        <v/>
      </c>
      <c r="W222" s="11">
        <f>IF(C222="","",IFERROR(INDEX(Catalogo!$G$5:$G$129,MATCH(C222,Catalogo!$A$5:$A$129,0)),""))</f>
        <v/>
      </c>
      <c r="X222" s="12">
        <f>IF(C222="","",IF(ISNUMBER(F222),F222,IF(AND(ISNUMBER(D222),ISNUMBER(E222),E222&gt;0),D222/E222*IF(W222="%",100,1),IF(ISNUMBER(D222),D222,""))))</f>
        <v/>
      </c>
      <c r="Y222" s="11">
        <f>IF(C222="","",IF(A222="","Falta periodo",IF(COUNTIF(Listas!$A$2:$A$134,A222)=0,"Periodo no válido",IF(X222="","Falta valor",IF(I222="","Falta fuente: no se mostrará",IF(AND(J222="",K222=""),"Sin evidencia",IF(N222&lt;&gt;"Validado","Sin validar","OK")))))))</f>
        <v/>
      </c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9" t="n"/>
      <c r="N223" s="8" t="n"/>
      <c r="O223" s="8" t="n"/>
      <c r="P223" s="9" t="n"/>
      <c r="Q223" s="8" t="n"/>
      <c r="R223" s="8" t="n"/>
      <c r="S223" s="8" t="n"/>
      <c r="T223" s="8" t="n"/>
      <c r="U223" s="8" t="n"/>
      <c r="V223" s="11">
        <f>IF(C223="","",IFERROR(INDEX(Catalogo!$C$5:$C$129,MATCH(C223,Catalogo!$A$5:$A$129,0)),"Código no existe"))</f>
        <v/>
      </c>
      <c r="W223" s="11">
        <f>IF(C223="","",IFERROR(INDEX(Catalogo!$G$5:$G$129,MATCH(C223,Catalogo!$A$5:$A$129,0)),""))</f>
        <v/>
      </c>
      <c r="X223" s="12">
        <f>IF(C223="","",IF(ISNUMBER(F223),F223,IF(AND(ISNUMBER(D223),ISNUMBER(E223),E223&gt;0),D223/E223*IF(W223="%",100,1),IF(ISNUMBER(D223),D223,""))))</f>
        <v/>
      </c>
      <c r="Y223" s="11">
        <f>IF(C223="","",IF(A223="","Falta periodo",IF(COUNTIF(Listas!$A$2:$A$134,A223)=0,"Periodo no válido",IF(X223="","Falta valor",IF(I223="","Falta fuente: no se mostrará",IF(AND(J223="",K223=""),"Sin evidencia",IF(N223&lt;&gt;"Validado","Sin validar","OK")))))))</f>
        <v/>
      </c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9" t="n"/>
      <c r="N224" s="8" t="n"/>
      <c r="O224" s="8" t="n"/>
      <c r="P224" s="9" t="n"/>
      <c r="Q224" s="8" t="n"/>
      <c r="R224" s="8" t="n"/>
      <c r="S224" s="8" t="n"/>
      <c r="T224" s="8" t="n"/>
      <c r="U224" s="8" t="n"/>
      <c r="V224" s="11">
        <f>IF(C224="","",IFERROR(INDEX(Catalogo!$C$5:$C$129,MATCH(C224,Catalogo!$A$5:$A$129,0)),"Código no existe"))</f>
        <v/>
      </c>
      <c r="W224" s="11">
        <f>IF(C224="","",IFERROR(INDEX(Catalogo!$G$5:$G$129,MATCH(C224,Catalogo!$A$5:$A$129,0)),""))</f>
        <v/>
      </c>
      <c r="X224" s="12">
        <f>IF(C224="","",IF(ISNUMBER(F224),F224,IF(AND(ISNUMBER(D224),ISNUMBER(E224),E224&gt;0),D224/E224*IF(W224="%",100,1),IF(ISNUMBER(D224),D224,""))))</f>
        <v/>
      </c>
      <c r="Y224" s="11">
        <f>IF(C224="","",IF(A224="","Falta periodo",IF(COUNTIF(Listas!$A$2:$A$134,A224)=0,"Periodo no válido",IF(X224="","Falta valor",IF(I224="","Falta fuente: no se mostrará",IF(AND(J224="",K224=""),"Sin evidencia",IF(N224&lt;&gt;"Validado","Sin validar","OK")))))))</f>
        <v/>
      </c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9" t="n"/>
      <c r="N225" s="8" t="n"/>
      <c r="O225" s="8" t="n"/>
      <c r="P225" s="9" t="n"/>
      <c r="Q225" s="8" t="n"/>
      <c r="R225" s="8" t="n"/>
      <c r="S225" s="8" t="n"/>
      <c r="T225" s="8" t="n"/>
      <c r="U225" s="8" t="n"/>
      <c r="V225" s="11">
        <f>IF(C225="","",IFERROR(INDEX(Catalogo!$C$5:$C$129,MATCH(C225,Catalogo!$A$5:$A$129,0)),"Código no existe"))</f>
        <v/>
      </c>
      <c r="W225" s="11">
        <f>IF(C225="","",IFERROR(INDEX(Catalogo!$G$5:$G$129,MATCH(C225,Catalogo!$A$5:$A$129,0)),""))</f>
        <v/>
      </c>
      <c r="X225" s="12">
        <f>IF(C225="","",IF(ISNUMBER(F225),F225,IF(AND(ISNUMBER(D225),ISNUMBER(E225),E225&gt;0),D225/E225*IF(W225="%",100,1),IF(ISNUMBER(D225),D225,""))))</f>
        <v/>
      </c>
      <c r="Y225" s="11">
        <f>IF(C225="","",IF(A225="","Falta periodo",IF(COUNTIF(Listas!$A$2:$A$134,A225)=0,"Periodo no válido",IF(X225="","Falta valor",IF(I225="","Falta fuente: no se mostrará",IF(AND(J225="",K225=""),"Sin evidencia",IF(N225&lt;&gt;"Validado","Sin validar","OK")))))))</f>
        <v/>
      </c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9" t="n"/>
      <c r="N226" s="8" t="n"/>
      <c r="O226" s="8" t="n"/>
      <c r="P226" s="9" t="n"/>
      <c r="Q226" s="8" t="n"/>
      <c r="R226" s="8" t="n"/>
      <c r="S226" s="8" t="n"/>
      <c r="T226" s="8" t="n"/>
      <c r="U226" s="8" t="n"/>
      <c r="V226" s="11">
        <f>IF(C226="","",IFERROR(INDEX(Catalogo!$C$5:$C$129,MATCH(C226,Catalogo!$A$5:$A$129,0)),"Código no existe"))</f>
        <v/>
      </c>
      <c r="W226" s="11">
        <f>IF(C226="","",IFERROR(INDEX(Catalogo!$G$5:$G$129,MATCH(C226,Catalogo!$A$5:$A$129,0)),""))</f>
        <v/>
      </c>
      <c r="X226" s="12">
        <f>IF(C226="","",IF(ISNUMBER(F226),F226,IF(AND(ISNUMBER(D226),ISNUMBER(E226),E226&gt;0),D226/E226*IF(W226="%",100,1),IF(ISNUMBER(D226),D226,""))))</f>
        <v/>
      </c>
      <c r="Y226" s="11">
        <f>IF(C226="","",IF(A226="","Falta periodo",IF(COUNTIF(Listas!$A$2:$A$134,A226)=0,"Periodo no válido",IF(X226="","Falta valor",IF(I226="","Falta fuente: no se mostrará",IF(AND(J226="",K226=""),"Sin evidencia",IF(N226&lt;&gt;"Validado","Sin validar","OK")))))))</f>
        <v/>
      </c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9" t="n"/>
      <c r="N227" s="8" t="n"/>
      <c r="O227" s="8" t="n"/>
      <c r="P227" s="9" t="n"/>
      <c r="Q227" s="8" t="n"/>
      <c r="R227" s="8" t="n"/>
      <c r="S227" s="8" t="n"/>
      <c r="T227" s="8" t="n"/>
      <c r="U227" s="8" t="n"/>
      <c r="V227" s="11">
        <f>IF(C227="","",IFERROR(INDEX(Catalogo!$C$5:$C$129,MATCH(C227,Catalogo!$A$5:$A$129,0)),"Código no existe"))</f>
        <v/>
      </c>
      <c r="W227" s="11">
        <f>IF(C227="","",IFERROR(INDEX(Catalogo!$G$5:$G$129,MATCH(C227,Catalogo!$A$5:$A$129,0)),""))</f>
        <v/>
      </c>
      <c r="X227" s="12">
        <f>IF(C227="","",IF(ISNUMBER(F227),F227,IF(AND(ISNUMBER(D227),ISNUMBER(E227),E227&gt;0),D227/E227*IF(W227="%",100,1),IF(ISNUMBER(D227),D227,""))))</f>
        <v/>
      </c>
      <c r="Y227" s="11">
        <f>IF(C227="","",IF(A227="","Falta periodo",IF(COUNTIF(Listas!$A$2:$A$134,A227)=0,"Periodo no válido",IF(X227="","Falta valor",IF(I227="","Falta fuente: no se mostrará",IF(AND(J227="",K227=""),"Sin evidencia",IF(N227&lt;&gt;"Validado","Sin validar","OK")))))))</f>
        <v/>
      </c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9" t="n"/>
      <c r="N228" s="8" t="n"/>
      <c r="O228" s="8" t="n"/>
      <c r="P228" s="9" t="n"/>
      <c r="Q228" s="8" t="n"/>
      <c r="R228" s="8" t="n"/>
      <c r="S228" s="8" t="n"/>
      <c r="T228" s="8" t="n"/>
      <c r="U228" s="8" t="n"/>
      <c r="V228" s="11">
        <f>IF(C228="","",IFERROR(INDEX(Catalogo!$C$5:$C$129,MATCH(C228,Catalogo!$A$5:$A$129,0)),"Código no existe"))</f>
        <v/>
      </c>
      <c r="W228" s="11">
        <f>IF(C228="","",IFERROR(INDEX(Catalogo!$G$5:$G$129,MATCH(C228,Catalogo!$A$5:$A$129,0)),""))</f>
        <v/>
      </c>
      <c r="X228" s="12">
        <f>IF(C228="","",IF(ISNUMBER(F228),F228,IF(AND(ISNUMBER(D228),ISNUMBER(E228),E228&gt;0),D228/E228*IF(W228="%",100,1),IF(ISNUMBER(D228),D228,""))))</f>
        <v/>
      </c>
      <c r="Y228" s="11">
        <f>IF(C228="","",IF(A228="","Falta periodo",IF(COUNTIF(Listas!$A$2:$A$134,A228)=0,"Periodo no válido",IF(X228="","Falta valor",IF(I228="","Falta fuente: no se mostrará",IF(AND(J228="",K228=""),"Sin evidencia",IF(N228&lt;&gt;"Validado","Sin validar","OK")))))))</f>
        <v/>
      </c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9" t="n"/>
      <c r="N229" s="8" t="n"/>
      <c r="O229" s="8" t="n"/>
      <c r="P229" s="9" t="n"/>
      <c r="Q229" s="8" t="n"/>
      <c r="R229" s="8" t="n"/>
      <c r="S229" s="8" t="n"/>
      <c r="T229" s="8" t="n"/>
      <c r="U229" s="8" t="n"/>
      <c r="V229" s="11">
        <f>IF(C229="","",IFERROR(INDEX(Catalogo!$C$5:$C$129,MATCH(C229,Catalogo!$A$5:$A$129,0)),"Código no existe"))</f>
        <v/>
      </c>
      <c r="W229" s="11">
        <f>IF(C229="","",IFERROR(INDEX(Catalogo!$G$5:$G$129,MATCH(C229,Catalogo!$A$5:$A$129,0)),""))</f>
        <v/>
      </c>
      <c r="X229" s="12">
        <f>IF(C229="","",IF(ISNUMBER(F229),F229,IF(AND(ISNUMBER(D229),ISNUMBER(E229),E229&gt;0),D229/E229*IF(W229="%",100,1),IF(ISNUMBER(D229),D229,""))))</f>
        <v/>
      </c>
      <c r="Y229" s="11">
        <f>IF(C229="","",IF(A229="","Falta periodo",IF(COUNTIF(Listas!$A$2:$A$134,A229)=0,"Periodo no válido",IF(X229="","Falta valor",IF(I229="","Falta fuente: no se mostrará",IF(AND(J229="",K229=""),"Sin evidencia",IF(N229&lt;&gt;"Validado","Sin validar","OK")))))))</f>
        <v/>
      </c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9" t="n"/>
      <c r="N230" s="8" t="n"/>
      <c r="O230" s="8" t="n"/>
      <c r="P230" s="9" t="n"/>
      <c r="Q230" s="8" t="n"/>
      <c r="R230" s="8" t="n"/>
      <c r="S230" s="8" t="n"/>
      <c r="T230" s="8" t="n"/>
      <c r="U230" s="8" t="n"/>
      <c r="V230" s="11">
        <f>IF(C230="","",IFERROR(INDEX(Catalogo!$C$5:$C$129,MATCH(C230,Catalogo!$A$5:$A$129,0)),"Código no existe"))</f>
        <v/>
      </c>
      <c r="W230" s="11">
        <f>IF(C230="","",IFERROR(INDEX(Catalogo!$G$5:$G$129,MATCH(C230,Catalogo!$A$5:$A$129,0)),""))</f>
        <v/>
      </c>
      <c r="X230" s="12">
        <f>IF(C230="","",IF(ISNUMBER(F230),F230,IF(AND(ISNUMBER(D230),ISNUMBER(E230),E230&gt;0),D230/E230*IF(W230="%",100,1),IF(ISNUMBER(D230),D230,""))))</f>
        <v/>
      </c>
      <c r="Y230" s="11">
        <f>IF(C230="","",IF(A230="","Falta periodo",IF(COUNTIF(Listas!$A$2:$A$134,A230)=0,"Periodo no válido",IF(X230="","Falta valor",IF(I230="","Falta fuente: no se mostrará",IF(AND(J230="",K230=""),"Sin evidencia",IF(N230&lt;&gt;"Validado","Sin validar","OK")))))))</f>
        <v/>
      </c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9" t="n"/>
      <c r="N231" s="8" t="n"/>
      <c r="O231" s="8" t="n"/>
      <c r="P231" s="9" t="n"/>
      <c r="Q231" s="8" t="n"/>
      <c r="R231" s="8" t="n"/>
      <c r="S231" s="8" t="n"/>
      <c r="T231" s="8" t="n"/>
      <c r="U231" s="8" t="n"/>
      <c r="V231" s="11">
        <f>IF(C231="","",IFERROR(INDEX(Catalogo!$C$5:$C$129,MATCH(C231,Catalogo!$A$5:$A$129,0)),"Código no existe"))</f>
        <v/>
      </c>
      <c r="W231" s="11">
        <f>IF(C231="","",IFERROR(INDEX(Catalogo!$G$5:$G$129,MATCH(C231,Catalogo!$A$5:$A$129,0)),""))</f>
        <v/>
      </c>
      <c r="X231" s="12">
        <f>IF(C231="","",IF(ISNUMBER(F231),F231,IF(AND(ISNUMBER(D231),ISNUMBER(E231),E231&gt;0),D231/E231*IF(W231="%",100,1),IF(ISNUMBER(D231),D231,""))))</f>
        <v/>
      </c>
      <c r="Y231" s="11">
        <f>IF(C231="","",IF(A231="","Falta periodo",IF(COUNTIF(Listas!$A$2:$A$134,A231)=0,"Periodo no válido",IF(X231="","Falta valor",IF(I231="","Falta fuente: no se mostrará",IF(AND(J231="",K231=""),"Sin evidencia",IF(N231&lt;&gt;"Validado","Sin validar","OK")))))))</f>
        <v/>
      </c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9" t="n"/>
      <c r="N232" s="8" t="n"/>
      <c r="O232" s="8" t="n"/>
      <c r="P232" s="9" t="n"/>
      <c r="Q232" s="8" t="n"/>
      <c r="R232" s="8" t="n"/>
      <c r="S232" s="8" t="n"/>
      <c r="T232" s="8" t="n"/>
      <c r="U232" s="8" t="n"/>
      <c r="V232" s="11">
        <f>IF(C232="","",IFERROR(INDEX(Catalogo!$C$5:$C$129,MATCH(C232,Catalogo!$A$5:$A$129,0)),"Código no existe"))</f>
        <v/>
      </c>
      <c r="W232" s="11">
        <f>IF(C232="","",IFERROR(INDEX(Catalogo!$G$5:$G$129,MATCH(C232,Catalogo!$A$5:$A$129,0)),""))</f>
        <v/>
      </c>
      <c r="X232" s="12">
        <f>IF(C232="","",IF(ISNUMBER(F232),F232,IF(AND(ISNUMBER(D232),ISNUMBER(E232),E232&gt;0),D232/E232*IF(W232="%",100,1),IF(ISNUMBER(D232),D232,""))))</f>
        <v/>
      </c>
      <c r="Y232" s="11">
        <f>IF(C232="","",IF(A232="","Falta periodo",IF(COUNTIF(Listas!$A$2:$A$134,A232)=0,"Periodo no válido",IF(X232="","Falta valor",IF(I232="","Falta fuente: no se mostrará",IF(AND(J232="",K232=""),"Sin evidencia",IF(N232&lt;&gt;"Validado","Sin validar","OK")))))))</f>
        <v/>
      </c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9" t="n"/>
      <c r="N233" s="8" t="n"/>
      <c r="O233" s="8" t="n"/>
      <c r="P233" s="9" t="n"/>
      <c r="Q233" s="8" t="n"/>
      <c r="R233" s="8" t="n"/>
      <c r="S233" s="8" t="n"/>
      <c r="T233" s="8" t="n"/>
      <c r="U233" s="8" t="n"/>
      <c r="V233" s="11">
        <f>IF(C233="","",IFERROR(INDEX(Catalogo!$C$5:$C$129,MATCH(C233,Catalogo!$A$5:$A$129,0)),"Código no existe"))</f>
        <v/>
      </c>
      <c r="W233" s="11">
        <f>IF(C233="","",IFERROR(INDEX(Catalogo!$G$5:$G$129,MATCH(C233,Catalogo!$A$5:$A$129,0)),""))</f>
        <v/>
      </c>
      <c r="X233" s="12">
        <f>IF(C233="","",IF(ISNUMBER(F233),F233,IF(AND(ISNUMBER(D233),ISNUMBER(E233),E233&gt;0),D233/E233*IF(W233="%",100,1),IF(ISNUMBER(D233),D233,""))))</f>
        <v/>
      </c>
      <c r="Y233" s="11">
        <f>IF(C233="","",IF(A233="","Falta periodo",IF(COUNTIF(Listas!$A$2:$A$134,A233)=0,"Periodo no válido",IF(X233="","Falta valor",IF(I233="","Falta fuente: no se mostrará",IF(AND(J233="",K233=""),"Sin evidencia",IF(N233&lt;&gt;"Validado","Sin validar","OK")))))))</f>
        <v/>
      </c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9" t="n"/>
      <c r="N234" s="8" t="n"/>
      <c r="O234" s="8" t="n"/>
      <c r="P234" s="9" t="n"/>
      <c r="Q234" s="8" t="n"/>
      <c r="R234" s="8" t="n"/>
      <c r="S234" s="8" t="n"/>
      <c r="T234" s="8" t="n"/>
      <c r="U234" s="8" t="n"/>
      <c r="V234" s="11">
        <f>IF(C234="","",IFERROR(INDEX(Catalogo!$C$5:$C$129,MATCH(C234,Catalogo!$A$5:$A$129,0)),"Código no existe"))</f>
        <v/>
      </c>
      <c r="W234" s="11">
        <f>IF(C234="","",IFERROR(INDEX(Catalogo!$G$5:$G$129,MATCH(C234,Catalogo!$A$5:$A$129,0)),""))</f>
        <v/>
      </c>
      <c r="X234" s="12">
        <f>IF(C234="","",IF(ISNUMBER(F234),F234,IF(AND(ISNUMBER(D234),ISNUMBER(E234),E234&gt;0),D234/E234*IF(W234="%",100,1),IF(ISNUMBER(D234),D234,""))))</f>
        <v/>
      </c>
      <c r="Y234" s="11">
        <f>IF(C234="","",IF(A234="","Falta periodo",IF(COUNTIF(Listas!$A$2:$A$134,A234)=0,"Periodo no válido",IF(X234="","Falta valor",IF(I234="","Falta fuente: no se mostrará",IF(AND(J234="",K234=""),"Sin evidencia",IF(N234&lt;&gt;"Validado","Sin validar","OK")))))))</f>
        <v/>
      </c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9" t="n"/>
      <c r="N235" s="8" t="n"/>
      <c r="O235" s="8" t="n"/>
      <c r="P235" s="9" t="n"/>
      <c r="Q235" s="8" t="n"/>
      <c r="R235" s="8" t="n"/>
      <c r="S235" s="8" t="n"/>
      <c r="T235" s="8" t="n"/>
      <c r="U235" s="8" t="n"/>
      <c r="V235" s="11">
        <f>IF(C235="","",IFERROR(INDEX(Catalogo!$C$5:$C$129,MATCH(C235,Catalogo!$A$5:$A$129,0)),"Código no existe"))</f>
        <v/>
      </c>
      <c r="W235" s="11">
        <f>IF(C235="","",IFERROR(INDEX(Catalogo!$G$5:$G$129,MATCH(C235,Catalogo!$A$5:$A$129,0)),""))</f>
        <v/>
      </c>
      <c r="X235" s="12">
        <f>IF(C235="","",IF(ISNUMBER(F235),F235,IF(AND(ISNUMBER(D235),ISNUMBER(E235),E235&gt;0),D235/E235*IF(W235="%",100,1),IF(ISNUMBER(D235),D235,""))))</f>
        <v/>
      </c>
      <c r="Y235" s="11">
        <f>IF(C235="","",IF(A235="","Falta periodo",IF(COUNTIF(Listas!$A$2:$A$134,A235)=0,"Periodo no válido",IF(X235="","Falta valor",IF(I235="","Falta fuente: no se mostrará",IF(AND(J235="",K235=""),"Sin evidencia",IF(N235&lt;&gt;"Validado","Sin validar","OK")))))))</f>
        <v/>
      </c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9" t="n"/>
      <c r="N236" s="8" t="n"/>
      <c r="O236" s="8" t="n"/>
      <c r="P236" s="9" t="n"/>
      <c r="Q236" s="8" t="n"/>
      <c r="R236" s="8" t="n"/>
      <c r="S236" s="8" t="n"/>
      <c r="T236" s="8" t="n"/>
      <c r="U236" s="8" t="n"/>
      <c r="V236" s="11">
        <f>IF(C236="","",IFERROR(INDEX(Catalogo!$C$5:$C$129,MATCH(C236,Catalogo!$A$5:$A$129,0)),"Código no existe"))</f>
        <v/>
      </c>
      <c r="W236" s="11">
        <f>IF(C236="","",IFERROR(INDEX(Catalogo!$G$5:$G$129,MATCH(C236,Catalogo!$A$5:$A$129,0)),""))</f>
        <v/>
      </c>
      <c r="X236" s="12">
        <f>IF(C236="","",IF(ISNUMBER(F236),F236,IF(AND(ISNUMBER(D236),ISNUMBER(E236),E236&gt;0),D236/E236*IF(W236="%",100,1),IF(ISNUMBER(D236),D236,""))))</f>
        <v/>
      </c>
      <c r="Y236" s="11">
        <f>IF(C236="","",IF(A236="","Falta periodo",IF(COUNTIF(Listas!$A$2:$A$134,A236)=0,"Periodo no válido",IF(X236="","Falta valor",IF(I236="","Falta fuente: no se mostrará",IF(AND(J236="",K236=""),"Sin evidencia",IF(N236&lt;&gt;"Validado","Sin validar","OK")))))))</f>
        <v/>
      </c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9" t="n"/>
      <c r="N237" s="8" t="n"/>
      <c r="O237" s="8" t="n"/>
      <c r="P237" s="9" t="n"/>
      <c r="Q237" s="8" t="n"/>
      <c r="R237" s="8" t="n"/>
      <c r="S237" s="8" t="n"/>
      <c r="T237" s="8" t="n"/>
      <c r="U237" s="8" t="n"/>
      <c r="V237" s="11">
        <f>IF(C237="","",IFERROR(INDEX(Catalogo!$C$5:$C$129,MATCH(C237,Catalogo!$A$5:$A$129,0)),"Código no existe"))</f>
        <v/>
      </c>
      <c r="W237" s="11">
        <f>IF(C237="","",IFERROR(INDEX(Catalogo!$G$5:$G$129,MATCH(C237,Catalogo!$A$5:$A$129,0)),""))</f>
        <v/>
      </c>
      <c r="X237" s="12">
        <f>IF(C237="","",IF(ISNUMBER(F237),F237,IF(AND(ISNUMBER(D237),ISNUMBER(E237),E237&gt;0),D237/E237*IF(W237="%",100,1),IF(ISNUMBER(D237),D237,""))))</f>
        <v/>
      </c>
      <c r="Y237" s="11">
        <f>IF(C237="","",IF(A237="","Falta periodo",IF(COUNTIF(Listas!$A$2:$A$134,A237)=0,"Periodo no válido",IF(X237="","Falta valor",IF(I237="","Falta fuente: no se mostrará",IF(AND(J237="",K237=""),"Sin evidencia",IF(N237&lt;&gt;"Validado","Sin validar","OK")))))))</f>
        <v/>
      </c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9" t="n"/>
      <c r="N238" s="8" t="n"/>
      <c r="O238" s="8" t="n"/>
      <c r="P238" s="9" t="n"/>
      <c r="Q238" s="8" t="n"/>
      <c r="R238" s="8" t="n"/>
      <c r="S238" s="8" t="n"/>
      <c r="T238" s="8" t="n"/>
      <c r="U238" s="8" t="n"/>
      <c r="V238" s="11">
        <f>IF(C238="","",IFERROR(INDEX(Catalogo!$C$5:$C$129,MATCH(C238,Catalogo!$A$5:$A$129,0)),"Código no existe"))</f>
        <v/>
      </c>
      <c r="W238" s="11">
        <f>IF(C238="","",IFERROR(INDEX(Catalogo!$G$5:$G$129,MATCH(C238,Catalogo!$A$5:$A$129,0)),""))</f>
        <v/>
      </c>
      <c r="X238" s="12">
        <f>IF(C238="","",IF(ISNUMBER(F238),F238,IF(AND(ISNUMBER(D238),ISNUMBER(E238),E238&gt;0),D238/E238*IF(W238="%",100,1),IF(ISNUMBER(D238),D238,""))))</f>
        <v/>
      </c>
      <c r="Y238" s="11">
        <f>IF(C238="","",IF(A238="","Falta periodo",IF(COUNTIF(Listas!$A$2:$A$134,A238)=0,"Periodo no válido",IF(X238="","Falta valor",IF(I238="","Falta fuente: no se mostrará",IF(AND(J238="",K238=""),"Sin evidencia",IF(N238&lt;&gt;"Validado","Sin validar","OK")))))))</f>
        <v/>
      </c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9" t="n"/>
      <c r="N239" s="8" t="n"/>
      <c r="O239" s="8" t="n"/>
      <c r="P239" s="9" t="n"/>
      <c r="Q239" s="8" t="n"/>
      <c r="R239" s="8" t="n"/>
      <c r="S239" s="8" t="n"/>
      <c r="T239" s="8" t="n"/>
      <c r="U239" s="8" t="n"/>
      <c r="V239" s="11">
        <f>IF(C239="","",IFERROR(INDEX(Catalogo!$C$5:$C$129,MATCH(C239,Catalogo!$A$5:$A$129,0)),"Código no existe"))</f>
        <v/>
      </c>
      <c r="W239" s="11">
        <f>IF(C239="","",IFERROR(INDEX(Catalogo!$G$5:$G$129,MATCH(C239,Catalogo!$A$5:$A$129,0)),""))</f>
        <v/>
      </c>
      <c r="X239" s="12">
        <f>IF(C239="","",IF(ISNUMBER(F239),F239,IF(AND(ISNUMBER(D239),ISNUMBER(E239),E239&gt;0),D239/E239*IF(W239="%",100,1),IF(ISNUMBER(D239),D239,""))))</f>
        <v/>
      </c>
      <c r="Y239" s="11">
        <f>IF(C239="","",IF(A239="","Falta periodo",IF(COUNTIF(Listas!$A$2:$A$134,A239)=0,"Periodo no válido",IF(X239="","Falta valor",IF(I239="","Falta fuente: no se mostrará",IF(AND(J239="",K239=""),"Sin evidencia",IF(N239&lt;&gt;"Validado","Sin validar","OK")))))))</f>
        <v/>
      </c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9" t="n"/>
      <c r="N240" s="8" t="n"/>
      <c r="O240" s="8" t="n"/>
      <c r="P240" s="9" t="n"/>
      <c r="Q240" s="8" t="n"/>
      <c r="R240" s="8" t="n"/>
      <c r="S240" s="8" t="n"/>
      <c r="T240" s="8" t="n"/>
      <c r="U240" s="8" t="n"/>
      <c r="V240" s="11">
        <f>IF(C240="","",IFERROR(INDEX(Catalogo!$C$5:$C$129,MATCH(C240,Catalogo!$A$5:$A$129,0)),"Código no existe"))</f>
        <v/>
      </c>
      <c r="W240" s="11">
        <f>IF(C240="","",IFERROR(INDEX(Catalogo!$G$5:$G$129,MATCH(C240,Catalogo!$A$5:$A$129,0)),""))</f>
        <v/>
      </c>
      <c r="X240" s="12">
        <f>IF(C240="","",IF(ISNUMBER(F240),F240,IF(AND(ISNUMBER(D240),ISNUMBER(E240),E240&gt;0),D240/E240*IF(W240="%",100,1),IF(ISNUMBER(D240),D240,""))))</f>
        <v/>
      </c>
      <c r="Y240" s="11">
        <f>IF(C240="","",IF(A240="","Falta periodo",IF(COUNTIF(Listas!$A$2:$A$134,A240)=0,"Periodo no válido",IF(X240="","Falta valor",IF(I240="","Falta fuente: no se mostrará",IF(AND(J240="",K240=""),"Sin evidencia",IF(N240&lt;&gt;"Validado","Sin validar","OK")))))))</f>
        <v/>
      </c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9" t="n"/>
      <c r="N241" s="8" t="n"/>
      <c r="O241" s="8" t="n"/>
      <c r="P241" s="9" t="n"/>
      <c r="Q241" s="8" t="n"/>
      <c r="R241" s="8" t="n"/>
      <c r="S241" s="8" t="n"/>
      <c r="T241" s="8" t="n"/>
      <c r="U241" s="8" t="n"/>
      <c r="V241" s="11">
        <f>IF(C241="","",IFERROR(INDEX(Catalogo!$C$5:$C$129,MATCH(C241,Catalogo!$A$5:$A$129,0)),"Código no existe"))</f>
        <v/>
      </c>
      <c r="W241" s="11">
        <f>IF(C241="","",IFERROR(INDEX(Catalogo!$G$5:$G$129,MATCH(C241,Catalogo!$A$5:$A$129,0)),""))</f>
        <v/>
      </c>
      <c r="X241" s="12">
        <f>IF(C241="","",IF(ISNUMBER(F241),F241,IF(AND(ISNUMBER(D241),ISNUMBER(E241),E241&gt;0),D241/E241*IF(W241="%",100,1),IF(ISNUMBER(D241),D241,""))))</f>
        <v/>
      </c>
      <c r="Y241" s="11">
        <f>IF(C241="","",IF(A241="","Falta periodo",IF(COUNTIF(Listas!$A$2:$A$134,A241)=0,"Periodo no válido",IF(X241="","Falta valor",IF(I241="","Falta fuente: no se mostrará",IF(AND(J241="",K241=""),"Sin evidencia",IF(N241&lt;&gt;"Validado","Sin validar","OK")))))))</f>
        <v/>
      </c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9" t="n"/>
      <c r="N242" s="8" t="n"/>
      <c r="O242" s="8" t="n"/>
      <c r="P242" s="9" t="n"/>
      <c r="Q242" s="8" t="n"/>
      <c r="R242" s="8" t="n"/>
      <c r="S242" s="8" t="n"/>
      <c r="T242" s="8" t="n"/>
      <c r="U242" s="8" t="n"/>
      <c r="V242" s="11">
        <f>IF(C242="","",IFERROR(INDEX(Catalogo!$C$5:$C$129,MATCH(C242,Catalogo!$A$5:$A$129,0)),"Código no existe"))</f>
        <v/>
      </c>
      <c r="W242" s="11">
        <f>IF(C242="","",IFERROR(INDEX(Catalogo!$G$5:$G$129,MATCH(C242,Catalogo!$A$5:$A$129,0)),""))</f>
        <v/>
      </c>
      <c r="X242" s="12">
        <f>IF(C242="","",IF(ISNUMBER(F242),F242,IF(AND(ISNUMBER(D242),ISNUMBER(E242),E242&gt;0),D242/E242*IF(W242="%",100,1),IF(ISNUMBER(D242),D242,""))))</f>
        <v/>
      </c>
      <c r="Y242" s="11">
        <f>IF(C242="","",IF(A242="","Falta periodo",IF(COUNTIF(Listas!$A$2:$A$134,A242)=0,"Periodo no válido",IF(X242="","Falta valor",IF(I242="","Falta fuente: no se mostrará",IF(AND(J242="",K242=""),"Sin evidencia",IF(N242&lt;&gt;"Validado","Sin validar","OK")))))))</f>
        <v/>
      </c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9" t="n"/>
      <c r="N243" s="8" t="n"/>
      <c r="O243" s="8" t="n"/>
      <c r="P243" s="9" t="n"/>
      <c r="Q243" s="8" t="n"/>
      <c r="R243" s="8" t="n"/>
      <c r="S243" s="8" t="n"/>
      <c r="T243" s="8" t="n"/>
      <c r="U243" s="8" t="n"/>
      <c r="V243" s="11">
        <f>IF(C243="","",IFERROR(INDEX(Catalogo!$C$5:$C$129,MATCH(C243,Catalogo!$A$5:$A$129,0)),"Código no existe"))</f>
        <v/>
      </c>
      <c r="W243" s="11">
        <f>IF(C243="","",IFERROR(INDEX(Catalogo!$G$5:$G$129,MATCH(C243,Catalogo!$A$5:$A$129,0)),""))</f>
        <v/>
      </c>
      <c r="X243" s="12">
        <f>IF(C243="","",IF(ISNUMBER(F243),F243,IF(AND(ISNUMBER(D243),ISNUMBER(E243),E243&gt;0),D243/E243*IF(W243="%",100,1),IF(ISNUMBER(D243),D243,""))))</f>
        <v/>
      </c>
      <c r="Y243" s="11">
        <f>IF(C243="","",IF(A243="","Falta periodo",IF(COUNTIF(Listas!$A$2:$A$134,A243)=0,"Periodo no válido",IF(X243="","Falta valor",IF(I243="","Falta fuente: no se mostrará",IF(AND(J243="",K243=""),"Sin evidencia",IF(N243&lt;&gt;"Validado","Sin validar","OK")))))))</f>
        <v/>
      </c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9" t="n"/>
      <c r="N244" s="8" t="n"/>
      <c r="O244" s="8" t="n"/>
      <c r="P244" s="9" t="n"/>
      <c r="Q244" s="8" t="n"/>
      <c r="R244" s="8" t="n"/>
      <c r="S244" s="8" t="n"/>
      <c r="T244" s="8" t="n"/>
      <c r="U244" s="8" t="n"/>
      <c r="V244" s="11">
        <f>IF(C244="","",IFERROR(INDEX(Catalogo!$C$5:$C$129,MATCH(C244,Catalogo!$A$5:$A$129,0)),"Código no existe"))</f>
        <v/>
      </c>
      <c r="W244" s="11">
        <f>IF(C244="","",IFERROR(INDEX(Catalogo!$G$5:$G$129,MATCH(C244,Catalogo!$A$5:$A$129,0)),""))</f>
        <v/>
      </c>
      <c r="X244" s="12">
        <f>IF(C244="","",IF(ISNUMBER(F244),F244,IF(AND(ISNUMBER(D244),ISNUMBER(E244),E244&gt;0),D244/E244*IF(W244="%",100,1),IF(ISNUMBER(D244),D244,""))))</f>
        <v/>
      </c>
      <c r="Y244" s="11">
        <f>IF(C244="","",IF(A244="","Falta periodo",IF(COUNTIF(Listas!$A$2:$A$134,A244)=0,"Periodo no válido",IF(X244="","Falta valor",IF(I244="","Falta fuente: no se mostrará",IF(AND(J244="",K244=""),"Sin evidencia",IF(N244&lt;&gt;"Validado","Sin validar","OK")))))))</f>
        <v/>
      </c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9" t="n"/>
      <c r="N245" s="8" t="n"/>
      <c r="O245" s="8" t="n"/>
      <c r="P245" s="9" t="n"/>
      <c r="Q245" s="8" t="n"/>
      <c r="R245" s="8" t="n"/>
      <c r="S245" s="8" t="n"/>
      <c r="T245" s="8" t="n"/>
      <c r="U245" s="8" t="n"/>
      <c r="V245" s="11">
        <f>IF(C245="","",IFERROR(INDEX(Catalogo!$C$5:$C$129,MATCH(C245,Catalogo!$A$5:$A$129,0)),"Código no existe"))</f>
        <v/>
      </c>
      <c r="W245" s="11">
        <f>IF(C245="","",IFERROR(INDEX(Catalogo!$G$5:$G$129,MATCH(C245,Catalogo!$A$5:$A$129,0)),""))</f>
        <v/>
      </c>
      <c r="X245" s="12">
        <f>IF(C245="","",IF(ISNUMBER(F245),F245,IF(AND(ISNUMBER(D245),ISNUMBER(E245),E245&gt;0),D245/E245*IF(W245="%",100,1),IF(ISNUMBER(D245),D245,""))))</f>
        <v/>
      </c>
      <c r="Y245" s="11">
        <f>IF(C245="","",IF(A245="","Falta periodo",IF(COUNTIF(Listas!$A$2:$A$134,A245)=0,"Periodo no válido",IF(X245="","Falta valor",IF(I245="","Falta fuente: no se mostrará",IF(AND(J245="",K245=""),"Sin evidencia",IF(N245&lt;&gt;"Validado","Sin validar","OK")))))))</f>
        <v/>
      </c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9" t="n"/>
      <c r="N246" s="8" t="n"/>
      <c r="O246" s="8" t="n"/>
      <c r="P246" s="9" t="n"/>
      <c r="Q246" s="8" t="n"/>
      <c r="R246" s="8" t="n"/>
      <c r="S246" s="8" t="n"/>
      <c r="T246" s="8" t="n"/>
      <c r="U246" s="8" t="n"/>
      <c r="V246" s="11">
        <f>IF(C246="","",IFERROR(INDEX(Catalogo!$C$5:$C$129,MATCH(C246,Catalogo!$A$5:$A$129,0)),"Código no existe"))</f>
        <v/>
      </c>
      <c r="W246" s="11">
        <f>IF(C246="","",IFERROR(INDEX(Catalogo!$G$5:$G$129,MATCH(C246,Catalogo!$A$5:$A$129,0)),""))</f>
        <v/>
      </c>
      <c r="X246" s="12">
        <f>IF(C246="","",IF(ISNUMBER(F246),F246,IF(AND(ISNUMBER(D246),ISNUMBER(E246),E246&gt;0),D246/E246*IF(W246="%",100,1),IF(ISNUMBER(D246),D246,""))))</f>
        <v/>
      </c>
      <c r="Y246" s="11">
        <f>IF(C246="","",IF(A246="","Falta periodo",IF(COUNTIF(Listas!$A$2:$A$134,A246)=0,"Periodo no válido",IF(X246="","Falta valor",IF(I246="","Falta fuente: no se mostrará",IF(AND(J246="",K246=""),"Sin evidencia",IF(N246&lt;&gt;"Validado","Sin validar","OK")))))))</f>
        <v/>
      </c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9" t="n"/>
      <c r="N247" s="8" t="n"/>
      <c r="O247" s="8" t="n"/>
      <c r="P247" s="9" t="n"/>
      <c r="Q247" s="8" t="n"/>
      <c r="R247" s="8" t="n"/>
      <c r="S247" s="8" t="n"/>
      <c r="T247" s="8" t="n"/>
      <c r="U247" s="8" t="n"/>
      <c r="V247" s="11">
        <f>IF(C247="","",IFERROR(INDEX(Catalogo!$C$5:$C$129,MATCH(C247,Catalogo!$A$5:$A$129,0)),"Código no existe"))</f>
        <v/>
      </c>
      <c r="W247" s="11">
        <f>IF(C247="","",IFERROR(INDEX(Catalogo!$G$5:$G$129,MATCH(C247,Catalogo!$A$5:$A$129,0)),""))</f>
        <v/>
      </c>
      <c r="X247" s="12">
        <f>IF(C247="","",IF(ISNUMBER(F247),F247,IF(AND(ISNUMBER(D247),ISNUMBER(E247),E247&gt;0),D247/E247*IF(W247="%",100,1),IF(ISNUMBER(D247),D247,""))))</f>
        <v/>
      </c>
      <c r="Y247" s="11">
        <f>IF(C247="","",IF(A247="","Falta periodo",IF(COUNTIF(Listas!$A$2:$A$134,A247)=0,"Periodo no válido",IF(X247="","Falta valor",IF(I247="","Falta fuente: no se mostrará",IF(AND(J247="",K247=""),"Sin evidencia",IF(N247&lt;&gt;"Validado","Sin validar","OK")))))))</f>
        <v/>
      </c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9" t="n"/>
      <c r="N248" s="8" t="n"/>
      <c r="O248" s="8" t="n"/>
      <c r="P248" s="9" t="n"/>
      <c r="Q248" s="8" t="n"/>
      <c r="R248" s="8" t="n"/>
      <c r="S248" s="8" t="n"/>
      <c r="T248" s="8" t="n"/>
      <c r="U248" s="8" t="n"/>
      <c r="V248" s="11">
        <f>IF(C248="","",IFERROR(INDEX(Catalogo!$C$5:$C$129,MATCH(C248,Catalogo!$A$5:$A$129,0)),"Código no existe"))</f>
        <v/>
      </c>
      <c r="W248" s="11">
        <f>IF(C248="","",IFERROR(INDEX(Catalogo!$G$5:$G$129,MATCH(C248,Catalogo!$A$5:$A$129,0)),""))</f>
        <v/>
      </c>
      <c r="X248" s="12">
        <f>IF(C248="","",IF(ISNUMBER(F248),F248,IF(AND(ISNUMBER(D248),ISNUMBER(E248),E248&gt;0),D248/E248*IF(W248="%",100,1),IF(ISNUMBER(D248),D248,""))))</f>
        <v/>
      </c>
      <c r="Y248" s="11">
        <f>IF(C248="","",IF(A248="","Falta periodo",IF(COUNTIF(Listas!$A$2:$A$134,A248)=0,"Periodo no válido",IF(X248="","Falta valor",IF(I248="","Falta fuente: no se mostrará",IF(AND(J248="",K248=""),"Sin evidencia",IF(N248&lt;&gt;"Validado","Sin validar","OK")))))))</f>
        <v/>
      </c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9" t="n"/>
      <c r="N249" s="8" t="n"/>
      <c r="O249" s="8" t="n"/>
      <c r="P249" s="9" t="n"/>
      <c r="Q249" s="8" t="n"/>
      <c r="R249" s="8" t="n"/>
      <c r="S249" s="8" t="n"/>
      <c r="T249" s="8" t="n"/>
      <c r="U249" s="8" t="n"/>
      <c r="V249" s="11">
        <f>IF(C249="","",IFERROR(INDEX(Catalogo!$C$5:$C$129,MATCH(C249,Catalogo!$A$5:$A$129,0)),"Código no existe"))</f>
        <v/>
      </c>
      <c r="W249" s="11">
        <f>IF(C249="","",IFERROR(INDEX(Catalogo!$G$5:$G$129,MATCH(C249,Catalogo!$A$5:$A$129,0)),""))</f>
        <v/>
      </c>
      <c r="X249" s="12">
        <f>IF(C249="","",IF(ISNUMBER(F249),F249,IF(AND(ISNUMBER(D249),ISNUMBER(E249),E249&gt;0),D249/E249*IF(W249="%",100,1),IF(ISNUMBER(D249),D249,""))))</f>
        <v/>
      </c>
      <c r="Y249" s="11">
        <f>IF(C249="","",IF(A249="","Falta periodo",IF(COUNTIF(Listas!$A$2:$A$134,A249)=0,"Periodo no válido",IF(X249="","Falta valor",IF(I249="","Falta fuente: no se mostrará",IF(AND(J249="",K249=""),"Sin evidencia",IF(N249&lt;&gt;"Validado","Sin validar","OK")))))))</f>
        <v/>
      </c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9" t="n"/>
      <c r="N250" s="8" t="n"/>
      <c r="O250" s="8" t="n"/>
      <c r="P250" s="9" t="n"/>
      <c r="Q250" s="8" t="n"/>
      <c r="R250" s="8" t="n"/>
      <c r="S250" s="8" t="n"/>
      <c r="T250" s="8" t="n"/>
      <c r="U250" s="8" t="n"/>
      <c r="V250" s="11">
        <f>IF(C250="","",IFERROR(INDEX(Catalogo!$C$5:$C$129,MATCH(C250,Catalogo!$A$5:$A$129,0)),"Código no existe"))</f>
        <v/>
      </c>
      <c r="W250" s="11">
        <f>IF(C250="","",IFERROR(INDEX(Catalogo!$G$5:$G$129,MATCH(C250,Catalogo!$A$5:$A$129,0)),""))</f>
        <v/>
      </c>
      <c r="X250" s="12">
        <f>IF(C250="","",IF(ISNUMBER(F250),F250,IF(AND(ISNUMBER(D250),ISNUMBER(E250),E250&gt;0),D250/E250*IF(W250="%",100,1),IF(ISNUMBER(D250),D250,""))))</f>
        <v/>
      </c>
      <c r="Y250" s="11">
        <f>IF(C250="","",IF(A250="","Falta periodo",IF(COUNTIF(Listas!$A$2:$A$134,A250)=0,"Periodo no válido",IF(X250="","Falta valor",IF(I250="","Falta fuente: no se mostrará",IF(AND(J250="",K250=""),"Sin evidencia",IF(N250&lt;&gt;"Validado","Sin validar","OK")))))))</f>
        <v/>
      </c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9" t="n"/>
      <c r="N251" s="8" t="n"/>
      <c r="O251" s="8" t="n"/>
      <c r="P251" s="9" t="n"/>
      <c r="Q251" s="8" t="n"/>
      <c r="R251" s="8" t="n"/>
      <c r="S251" s="8" t="n"/>
      <c r="T251" s="8" t="n"/>
      <c r="U251" s="8" t="n"/>
      <c r="V251" s="11">
        <f>IF(C251="","",IFERROR(INDEX(Catalogo!$C$5:$C$129,MATCH(C251,Catalogo!$A$5:$A$129,0)),"Código no existe"))</f>
        <v/>
      </c>
      <c r="W251" s="11">
        <f>IF(C251="","",IFERROR(INDEX(Catalogo!$G$5:$G$129,MATCH(C251,Catalogo!$A$5:$A$129,0)),""))</f>
        <v/>
      </c>
      <c r="X251" s="12">
        <f>IF(C251="","",IF(ISNUMBER(F251),F251,IF(AND(ISNUMBER(D251),ISNUMBER(E251),E251&gt;0),D251/E251*IF(W251="%",100,1),IF(ISNUMBER(D251),D251,""))))</f>
        <v/>
      </c>
      <c r="Y251" s="11">
        <f>IF(C251="","",IF(A251="","Falta periodo",IF(COUNTIF(Listas!$A$2:$A$134,A251)=0,"Periodo no válido",IF(X251="","Falta valor",IF(I251="","Falta fuente: no se mostrará",IF(AND(J251="",K251=""),"Sin evidencia",IF(N251&lt;&gt;"Validado","Sin validar","OK")))))))</f>
        <v/>
      </c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9" t="n"/>
      <c r="N252" s="8" t="n"/>
      <c r="O252" s="8" t="n"/>
      <c r="P252" s="9" t="n"/>
      <c r="Q252" s="8" t="n"/>
      <c r="R252" s="8" t="n"/>
      <c r="S252" s="8" t="n"/>
      <c r="T252" s="8" t="n"/>
      <c r="U252" s="8" t="n"/>
      <c r="V252" s="11">
        <f>IF(C252="","",IFERROR(INDEX(Catalogo!$C$5:$C$129,MATCH(C252,Catalogo!$A$5:$A$129,0)),"Código no existe"))</f>
        <v/>
      </c>
      <c r="W252" s="11">
        <f>IF(C252="","",IFERROR(INDEX(Catalogo!$G$5:$G$129,MATCH(C252,Catalogo!$A$5:$A$129,0)),""))</f>
        <v/>
      </c>
      <c r="X252" s="12">
        <f>IF(C252="","",IF(ISNUMBER(F252),F252,IF(AND(ISNUMBER(D252),ISNUMBER(E252),E252&gt;0),D252/E252*IF(W252="%",100,1),IF(ISNUMBER(D252),D252,""))))</f>
        <v/>
      </c>
      <c r="Y252" s="11">
        <f>IF(C252="","",IF(A252="","Falta periodo",IF(COUNTIF(Listas!$A$2:$A$134,A252)=0,"Periodo no válido",IF(X252="","Falta valor",IF(I252="","Falta fuente: no se mostrará",IF(AND(J252="",K252=""),"Sin evidencia",IF(N252&lt;&gt;"Validado","Sin validar","OK")))))))</f>
        <v/>
      </c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9" t="n"/>
      <c r="N253" s="8" t="n"/>
      <c r="O253" s="8" t="n"/>
      <c r="P253" s="9" t="n"/>
      <c r="Q253" s="8" t="n"/>
      <c r="R253" s="8" t="n"/>
      <c r="S253" s="8" t="n"/>
      <c r="T253" s="8" t="n"/>
      <c r="U253" s="8" t="n"/>
      <c r="V253" s="11">
        <f>IF(C253="","",IFERROR(INDEX(Catalogo!$C$5:$C$129,MATCH(C253,Catalogo!$A$5:$A$129,0)),"Código no existe"))</f>
        <v/>
      </c>
      <c r="W253" s="11">
        <f>IF(C253="","",IFERROR(INDEX(Catalogo!$G$5:$G$129,MATCH(C253,Catalogo!$A$5:$A$129,0)),""))</f>
        <v/>
      </c>
      <c r="X253" s="12">
        <f>IF(C253="","",IF(ISNUMBER(F253),F253,IF(AND(ISNUMBER(D253),ISNUMBER(E253),E253&gt;0),D253/E253*IF(W253="%",100,1),IF(ISNUMBER(D253),D253,""))))</f>
        <v/>
      </c>
      <c r="Y253" s="11">
        <f>IF(C253="","",IF(A253="","Falta periodo",IF(COUNTIF(Listas!$A$2:$A$134,A253)=0,"Periodo no válido",IF(X253="","Falta valor",IF(I253="","Falta fuente: no se mostrará",IF(AND(J253="",K253=""),"Sin evidencia",IF(N253&lt;&gt;"Validado","Sin validar","OK")))))))</f>
        <v/>
      </c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9" t="n"/>
      <c r="N254" s="8" t="n"/>
      <c r="O254" s="8" t="n"/>
      <c r="P254" s="9" t="n"/>
      <c r="Q254" s="8" t="n"/>
      <c r="R254" s="8" t="n"/>
      <c r="S254" s="8" t="n"/>
      <c r="T254" s="8" t="n"/>
      <c r="U254" s="8" t="n"/>
      <c r="V254" s="11">
        <f>IF(C254="","",IFERROR(INDEX(Catalogo!$C$5:$C$129,MATCH(C254,Catalogo!$A$5:$A$129,0)),"Código no existe"))</f>
        <v/>
      </c>
      <c r="W254" s="11">
        <f>IF(C254="","",IFERROR(INDEX(Catalogo!$G$5:$G$129,MATCH(C254,Catalogo!$A$5:$A$129,0)),""))</f>
        <v/>
      </c>
      <c r="X254" s="12">
        <f>IF(C254="","",IF(ISNUMBER(F254),F254,IF(AND(ISNUMBER(D254),ISNUMBER(E254),E254&gt;0),D254/E254*IF(W254="%",100,1),IF(ISNUMBER(D254),D254,""))))</f>
        <v/>
      </c>
      <c r="Y254" s="11">
        <f>IF(C254="","",IF(A254="","Falta periodo",IF(COUNTIF(Listas!$A$2:$A$134,A254)=0,"Periodo no válido",IF(X254="","Falta valor",IF(I254="","Falta fuente: no se mostrará",IF(AND(J254="",K254=""),"Sin evidencia",IF(N254&lt;&gt;"Validado","Sin validar","OK")))))))</f>
        <v/>
      </c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9" t="n"/>
      <c r="N255" s="8" t="n"/>
      <c r="O255" s="8" t="n"/>
      <c r="P255" s="9" t="n"/>
      <c r="Q255" s="8" t="n"/>
      <c r="R255" s="8" t="n"/>
      <c r="S255" s="8" t="n"/>
      <c r="T255" s="8" t="n"/>
      <c r="U255" s="8" t="n"/>
      <c r="V255" s="11">
        <f>IF(C255="","",IFERROR(INDEX(Catalogo!$C$5:$C$129,MATCH(C255,Catalogo!$A$5:$A$129,0)),"Código no existe"))</f>
        <v/>
      </c>
      <c r="W255" s="11">
        <f>IF(C255="","",IFERROR(INDEX(Catalogo!$G$5:$G$129,MATCH(C255,Catalogo!$A$5:$A$129,0)),""))</f>
        <v/>
      </c>
      <c r="X255" s="12">
        <f>IF(C255="","",IF(ISNUMBER(F255),F255,IF(AND(ISNUMBER(D255),ISNUMBER(E255),E255&gt;0),D255/E255*IF(W255="%",100,1),IF(ISNUMBER(D255),D255,""))))</f>
        <v/>
      </c>
      <c r="Y255" s="11">
        <f>IF(C255="","",IF(A255="","Falta periodo",IF(COUNTIF(Listas!$A$2:$A$134,A255)=0,"Periodo no válido",IF(X255="","Falta valor",IF(I255="","Falta fuente: no se mostrará",IF(AND(J255="",K255=""),"Sin evidencia",IF(N255&lt;&gt;"Validado","Sin validar","OK")))))))</f>
        <v/>
      </c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9" t="n"/>
      <c r="N256" s="8" t="n"/>
      <c r="O256" s="8" t="n"/>
      <c r="P256" s="9" t="n"/>
      <c r="Q256" s="8" t="n"/>
      <c r="R256" s="8" t="n"/>
      <c r="S256" s="8" t="n"/>
      <c r="T256" s="8" t="n"/>
      <c r="U256" s="8" t="n"/>
      <c r="V256" s="11">
        <f>IF(C256="","",IFERROR(INDEX(Catalogo!$C$5:$C$129,MATCH(C256,Catalogo!$A$5:$A$129,0)),"Código no existe"))</f>
        <v/>
      </c>
      <c r="W256" s="11">
        <f>IF(C256="","",IFERROR(INDEX(Catalogo!$G$5:$G$129,MATCH(C256,Catalogo!$A$5:$A$129,0)),""))</f>
        <v/>
      </c>
      <c r="X256" s="12">
        <f>IF(C256="","",IF(ISNUMBER(F256),F256,IF(AND(ISNUMBER(D256),ISNUMBER(E256),E256&gt;0),D256/E256*IF(W256="%",100,1),IF(ISNUMBER(D256),D256,""))))</f>
        <v/>
      </c>
      <c r="Y256" s="11">
        <f>IF(C256="","",IF(A256="","Falta periodo",IF(COUNTIF(Listas!$A$2:$A$134,A256)=0,"Periodo no válido",IF(X256="","Falta valor",IF(I256="","Falta fuente: no se mostrará",IF(AND(J256="",K256=""),"Sin evidencia",IF(N256&lt;&gt;"Validado","Sin validar","OK")))))))</f>
        <v/>
      </c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9" t="n"/>
      <c r="N257" s="8" t="n"/>
      <c r="O257" s="8" t="n"/>
      <c r="P257" s="9" t="n"/>
      <c r="Q257" s="8" t="n"/>
      <c r="R257" s="8" t="n"/>
      <c r="S257" s="8" t="n"/>
      <c r="T257" s="8" t="n"/>
      <c r="U257" s="8" t="n"/>
      <c r="V257" s="11">
        <f>IF(C257="","",IFERROR(INDEX(Catalogo!$C$5:$C$129,MATCH(C257,Catalogo!$A$5:$A$129,0)),"Código no existe"))</f>
        <v/>
      </c>
      <c r="W257" s="11">
        <f>IF(C257="","",IFERROR(INDEX(Catalogo!$G$5:$G$129,MATCH(C257,Catalogo!$A$5:$A$129,0)),""))</f>
        <v/>
      </c>
      <c r="X257" s="12">
        <f>IF(C257="","",IF(ISNUMBER(F257),F257,IF(AND(ISNUMBER(D257),ISNUMBER(E257),E257&gt;0),D257/E257*IF(W257="%",100,1),IF(ISNUMBER(D257),D257,""))))</f>
        <v/>
      </c>
      <c r="Y257" s="11">
        <f>IF(C257="","",IF(A257="","Falta periodo",IF(COUNTIF(Listas!$A$2:$A$134,A257)=0,"Periodo no válido",IF(X257="","Falta valor",IF(I257="","Falta fuente: no se mostrará",IF(AND(J257="",K257=""),"Sin evidencia",IF(N257&lt;&gt;"Validado","Sin validar","OK")))))))</f>
        <v/>
      </c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9" t="n"/>
      <c r="N258" s="8" t="n"/>
      <c r="O258" s="8" t="n"/>
      <c r="P258" s="9" t="n"/>
      <c r="Q258" s="8" t="n"/>
      <c r="R258" s="8" t="n"/>
      <c r="S258" s="8" t="n"/>
      <c r="T258" s="8" t="n"/>
      <c r="U258" s="8" t="n"/>
      <c r="V258" s="11">
        <f>IF(C258="","",IFERROR(INDEX(Catalogo!$C$5:$C$129,MATCH(C258,Catalogo!$A$5:$A$129,0)),"Código no existe"))</f>
        <v/>
      </c>
      <c r="W258" s="11">
        <f>IF(C258="","",IFERROR(INDEX(Catalogo!$G$5:$G$129,MATCH(C258,Catalogo!$A$5:$A$129,0)),""))</f>
        <v/>
      </c>
      <c r="X258" s="12">
        <f>IF(C258="","",IF(ISNUMBER(F258),F258,IF(AND(ISNUMBER(D258),ISNUMBER(E258),E258&gt;0),D258/E258*IF(W258="%",100,1),IF(ISNUMBER(D258),D258,""))))</f>
        <v/>
      </c>
      <c r="Y258" s="11">
        <f>IF(C258="","",IF(A258="","Falta periodo",IF(COUNTIF(Listas!$A$2:$A$134,A258)=0,"Periodo no válido",IF(X258="","Falta valor",IF(I258="","Falta fuente: no se mostrará",IF(AND(J258="",K258=""),"Sin evidencia",IF(N258&lt;&gt;"Validado","Sin validar","OK")))))))</f>
        <v/>
      </c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9" t="n"/>
      <c r="N259" s="8" t="n"/>
      <c r="O259" s="8" t="n"/>
      <c r="P259" s="9" t="n"/>
      <c r="Q259" s="8" t="n"/>
      <c r="R259" s="8" t="n"/>
      <c r="S259" s="8" t="n"/>
      <c r="T259" s="8" t="n"/>
      <c r="U259" s="8" t="n"/>
      <c r="V259" s="11">
        <f>IF(C259="","",IFERROR(INDEX(Catalogo!$C$5:$C$129,MATCH(C259,Catalogo!$A$5:$A$129,0)),"Código no existe"))</f>
        <v/>
      </c>
      <c r="W259" s="11">
        <f>IF(C259="","",IFERROR(INDEX(Catalogo!$G$5:$G$129,MATCH(C259,Catalogo!$A$5:$A$129,0)),""))</f>
        <v/>
      </c>
      <c r="X259" s="12">
        <f>IF(C259="","",IF(ISNUMBER(F259),F259,IF(AND(ISNUMBER(D259),ISNUMBER(E259),E259&gt;0),D259/E259*IF(W259="%",100,1),IF(ISNUMBER(D259),D259,""))))</f>
        <v/>
      </c>
      <c r="Y259" s="11">
        <f>IF(C259="","",IF(A259="","Falta periodo",IF(COUNTIF(Listas!$A$2:$A$134,A259)=0,"Periodo no válido",IF(X259="","Falta valor",IF(I259="","Falta fuente: no se mostrará",IF(AND(J259="",K259=""),"Sin evidencia",IF(N259&lt;&gt;"Validado","Sin validar","OK")))))))</f>
        <v/>
      </c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9" t="n"/>
      <c r="N260" s="8" t="n"/>
      <c r="O260" s="8" t="n"/>
      <c r="P260" s="9" t="n"/>
      <c r="Q260" s="8" t="n"/>
      <c r="R260" s="8" t="n"/>
      <c r="S260" s="8" t="n"/>
      <c r="T260" s="8" t="n"/>
      <c r="U260" s="8" t="n"/>
      <c r="V260" s="11">
        <f>IF(C260="","",IFERROR(INDEX(Catalogo!$C$5:$C$129,MATCH(C260,Catalogo!$A$5:$A$129,0)),"Código no existe"))</f>
        <v/>
      </c>
      <c r="W260" s="11">
        <f>IF(C260="","",IFERROR(INDEX(Catalogo!$G$5:$G$129,MATCH(C260,Catalogo!$A$5:$A$129,0)),""))</f>
        <v/>
      </c>
      <c r="X260" s="12">
        <f>IF(C260="","",IF(ISNUMBER(F260),F260,IF(AND(ISNUMBER(D260),ISNUMBER(E260),E260&gt;0),D260/E260*IF(W260="%",100,1),IF(ISNUMBER(D260),D260,""))))</f>
        <v/>
      </c>
      <c r="Y260" s="11">
        <f>IF(C260="","",IF(A260="","Falta periodo",IF(COUNTIF(Listas!$A$2:$A$134,A260)=0,"Periodo no válido",IF(X260="","Falta valor",IF(I260="","Falta fuente: no se mostrará",IF(AND(J260="",K260=""),"Sin evidencia",IF(N260&lt;&gt;"Validado","Sin validar","OK")))))))</f>
        <v/>
      </c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9" t="n"/>
      <c r="N261" s="8" t="n"/>
      <c r="O261" s="8" t="n"/>
      <c r="P261" s="9" t="n"/>
      <c r="Q261" s="8" t="n"/>
      <c r="R261" s="8" t="n"/>
      <c r="S261" s="8" t="n"/>
      <c r="T261" s="8" t="n"/>
      <c r="U261" s="8" t="n"/>
      <c r="V261" s="11">
        <f>IF(C261="","",IFERROR(INDEX(Catalogo!$C$5:$C$129,MATCH(C261,Catalogo!$A$5:$A$129,0)),"Código no existe"))</f>
        <v/>
      </c>
      <c r="W261" s="11">
        <f>IF(C261="","",IFERROR(INDEX(Catalogo!$G$5:$G$129,MATCH(C261,Catalogo!$A$5:$A$129,0)),""))</f>
        <v/>
      </c>
      <c r="X261" s="12">
        <f>IF(C261="","",IF(ISNUMBER(F261),F261,IF(AND(ISNUMBER(D261),ISNUMBER(E261),E261&gt;0),D261/E261*IF(W261="%",100,1),IF(ISNUMBER(D261),D261,""))))</f>
        <v/>
      </c>
      <c r="Y261" s="11">
        <f>IF(C261="","",IF(A261="","Falta periodo",IF(COUNTIF(Listas!$A$2:$A$134,A261)=0,"Periodo no válido",IF(X261="","Falta valor",IF(I261="","Falta fuente: no se mostrará",IF(AND(J261="",K261=""),"Sin evidencia",IF(N261&lt;&gt;"Validado","Sin validar","OK")))))))</f>
        <v/>
      </c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9" t="n"/>
      <c r="N262" s="8" t="n"/>
      <c r="O262" s="8" t="n"/>
      <c r="P262" s="9" t="n"/>
      <c r="Q262" s="8" t="n"/>
      <c r="R262" s="8" t="n"/>
      <c r="S262" s="8" t="n"/>
      <c r="T262" s="8" t="n"/>
      <c r="U262" s="8" t="n"/>
      <c r="V262" s="11">
        <f>IF(C262="","",IFERROR(INDEX(Catalogo!$C$5:$C$129,MATCH(C262,Catalogo!$A$5:$A$129,0)),"Código no existe"))</f>
        <v/>
      </c>
      <c r="W262" s="11">
        <f>IF(C262="","",IFERROR(INDEX(Catalogo!$G$5:$G$129,MATCH(C262,Catalogo!$A$5:$A$129,0)),""))</f>
        <v/>
      </c>
      <c r="X262" s="12">
        <f>IF(C262="","",IF(ISNUMBER(F262),F262,IF(AND(ISNUMBER(D262),ISNUMBER(E262),E262&gt;0),D262/E262*IF(W262="%",100,1),IF(ISNUMBER(D262),D262,""))))</f>
        <v/>
      </c>
      <c r="Y262" s="11">
        <f>IF(C262="","",IF(A262="","Falta periodo",IF(COUNTIF(Listas!$A$2:$A$134,A262)=0,"Periodo no válido",IF(X262="","Falta valor",IF(I262="","Falta fuente: no se mostrará",IF(AND(J262="",K262=""),"Sin evidencia",IF(N262&lt;&gt;"Validado","Sin validar","OK")))))))</f>
        <v/>
      </c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9" t="n"/>
      <c r="N263" s="8" t="n"/>
      <c r="O263" s="8" t="n"/>
      <c r="P263" s="9" t="n"/>
      <c r="Q263" s="8" t="n"/>
      <c r="R263" s="8" t="n"/>
      <c r="S263" s="8" t="n"/>
      <c r="T263" s="8" t="n"/>
      <c r="U263" s="8" t="n"/>
      <c r="V263" s="11">
        <f>IF(C263="","",IFERROR(INDEX(Catalogo!$C$5:$C$129,MATCH(C263,Catalogo!$A$5:$A$129,0)),"Código no existe"))</f>
        <v/>
      </c>
      <c r="W263" s="11">
        <f>IF(C263="","",IFERROR(INDEX(Catalogo!$G$5:$G$129,MATCH(C263,Catalogo!$A$5:$A$129,0)),""))</f>
        <v/>
      </c>
      <c r="X263" s="12">
        <f>IF(C263="","",IF(ISNUMBER(F263),F263,IF(AND(ISNUMBER(D263),ISNUMBER(E263),E263&gt;0),D263/E263*IF(W263="%",100,1),IF(ISNUMBER(D263),D263,""))))</f>
        <v/>
      </c>
      <c r="Y263" s="11">
        <f>IF(C263="","",IF(A263="","Falta periodo",IF(COUNTIF(Listas!$A$2:$A$134,A263)=0,"Periodo no válido",IF(X263="","Falta valor",IF(I263="","Falta fuente: no se mostrará",IF(AND(J263="",K263=""),"Sin evidencia",IF(N263&lt;&gt;"Validado","Sin validar","OK")))))))</f>
        <v/>
      </c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9" t="n"/>
      <c r="N264" s="8" t="n"/>
      <c r="O264" s="8" t="n"/>
      <c r="P264" s="9" t="n"/>
      <c r="Q264" s="8" t="n"/>
      <c r="R264" s="8" t="n"/>
      <c r="S264" s="8" t="n"/>
      <c r="T264" s="8" t="n"/>
      <c r="U264" s="8" t="n"/>
      <c r="V264" s="11">
        <f>IF(C264="","",IFERROR(INDEX(Catalogo!$C$5:$C$129,MATCH(C264,Catalogo!$A$5:$A$129,0)),"Código no existe"))</f>
        <v/>
      </c>
      <c r="W264" s="11">
        <f>IF(C264="","",IFERROR(INDEX(Catalogo!$G$5:$G$129,MATCH(C264,Catalogo!$A$5:$A$129,0)),""))</f>
        <v/>
      </c>
      <c r="X264" s="12">
        <f>IF(C264="","",IF(ISNUMBER(F264),F264,IF(AND(ISNUMBER(D264),ISNUMBER(E264),E264&gt;0),D264/E264*IF(W264="%",100,1),IF(ISNUMBER(D264),D264,""))))</f>
        <v/>
      </c>
      <c r="Y264" s="11">
        <f>IF(C264="","",IF(A264="","Falta periodo",IF(COUNTIF(Listas!$A$2:$A$134,A264)=0,"Periodo no válido",IF(X264="","Falta valor",IF(I264="","Falta fuente: no se mostrará",IF(AND(J264="",K264=""),"Sin evidencia",IF(N264&lt;&gt;"Validado","Sin validar","OK")))))))</f>
        <v/>
      </c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9" t="n"/>
      <c r="N265" s="8" t="n"/>
      <c r="O265" s="8" t="n"/>
      <c r="P265" s="9" t="n"/>
      <c r="Q265" s="8" t="n"/>
      <c r="R265" s="8" t="n"/>
      <c r="S265" s="8" t="n"/>
      <c r="T265" s="8" t="n"/>
      <c r="U265" s="8" t="n"/>
      <c r="V265" s="11">
        <f>IF(C265="","",IFERROR(INDEX(Catalogo!$C$5:$C$129,MATCH(C265,Catalogo!$A$5:$A$129,0)),"Código no existe"))</f>
        <v/>
      </c>
      <c r="W265" s="11">
        <f>IF(C265="","",IFERROR(INDEX(Catalogo!$G$5:$G$129,MATCH(C265,Catalogo!$A$5:$A$129,0)),""))</f>
        <v/>
      </c>
      <c r="X265" s="12">
        <f>IF(C265="","",IF(ISNUMBER(F265),F265,IF(AND(ISNUMBER(D265),ISNUMBER(E265),E265&gt;0),D265/E265*IF(W265="%",100,1),IF(ISNUMBER(D265),D265,""))))</f>
        <v/>
      </c>
      <c r="Y265" s="11">
        <f>IF(C265="","",IF(A265="","Falta periodo",IF(COUNTIF(Listas!$A$2:$A$134,A265)=0,"Periodo no válido",IF(X265="","Falta valor",IF(I265="","Falta fuente: no se mostrará",IF(AND(J265="",K265=""),"Sin evidencia",IF(N265&lt;&gt;"Validado","Sin validar","OK")))))))</f>
        <v/>
      </c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9" t="n"/>
      <c r="N266" s="8" t="n"/>
      <c r="O266" s="8" t="n"/>
      <c r="P266" s="9" t="n"/>
      <c r="Q266" s="8" t="n"/>
      <c r="R266" s="8" t="n"/>
      <c r="S266" s="8" t="n"/>
      <c r="T266" s="8" t="n"/>
      <c r="U266" s="8" t="n"/>
      <c r="V266" s="11">
        <f>IF(C266="","",IFERROR(INDEX(Catalogo!$C$5:$C$129,MATCH(C266,Catalogo!$A$5:$A$129,0)),"Código no existe"))</f>
        <v/>
      </c>
      <c r="W266" s="11">
        <f>IF(C266="","",IFERROR(INDEX(Catalogo!$G$5:$G$129,MATCH(C266,Catalogo!$A$5:$A$129,0)),""))</f>
        <v/>
      </c>
      <c r="X266" s="12">
        <f>IF(C266="","",IF(ISNUMBER(F266),F266,IF(AND(ISNUMBER(D266),ISNUMBER(E266),E266&gt;0),D266/E266*IF(W266="%",100,1),IF(ISNUMBER(D266),D266,""))))</f>
        <v/>
      </c>
      <c r="Y266" s="11">
        <f>IF(C266="","",IF(A266="","Falta periodo",IF(COUNTIF(Listas!$A$2:$A$134,A266)=0,"Periodo no válido",IF(X266="","Falta valor",IF(I266="","Falta fuente: no se mostrará",IF(AND(J266="",K266=""),"Sin evidencia",IF(N266&lt;&gt;"Validado","Sin validar","OK")))))))</f>
        <v/>
      </c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9" t="n"/>
      <c r="N267" s="8" t="n"/>
      <c r="O267" s="8" t="n"/>
      <c r="P267" s="9" t="n"/>
      <c r="Q267" s="8" t="n"/>
      <c r="R267" s="8" t="n"/>
      <c r="S267" s="8" t="n"/>
      <c r="T267" s="8" t="n"/>
      <c r="U267" s="8" t="n"/>
      <c r="V267" s="11">
        <f>IF(C267="","",IFERROR(INDEX(Catalogo!$C$5:$C$129,MATCH(C267,Catalogo!$A$5:$A$129,0)),"Código no existe"))</f>
        <v/>
      </c>
      <c r="W267" s="11">
        <f>IF(C267="","",IFERROR(INDEX(Catalogo!$G$5:$G$129,MATCH(C267,Catalogo!$A$5:$A$129,0)),""))</f>
        <v/>
      </c>
      <c r="X267" s="12">
        <f>IF(C267="","",IF(ISNUMBER(F267),F267,IF(AND(ISNUMBER(D267),ISNUMBER(E267),E267&gt;0),D267/E267*IF(W267="%",100,1),IF(ISNUMBER(D267),D267,""))))</f>
        <v/>
      </c>
      <c r="Y267" s="11">
        <f>IF(C267="","",IF(A267="","Falta periodo",IF(COUNTIF(Listas!$A$2:$A$134,A267)=0,"Periodo no válido",IF(X267="","Falta valor",IF(I267="","Falta fuente: no se mostrará",IF(AND(J267="",K267=""),"Sin evidencia",IF(N267&lt;&gt;"Validado","Sin validar","OK")))))))</f>
        <v/>
      </c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9" t="n"/>
      <c r="N268" s="8" t="n"/>
      <c r="O268" s="8" t="n"/>
      <c r="P268" s="9" t="n"/>
      <c r="Q268" s="8" t="n"/>
      <c r="R268" s="8" t="n"/>
      <c r="S268" s="8" t="n"/>
      <c r="T268" s="8" t="n"/>
      <c r="U268" s="8" t="n"/>
      <c r="V268" s="11">
        <f>IF(C268="","",IFERROR(INDEX(Catalogo!$C$5:$C$129,MATCH(C268,Catalogo!$A$5:$A$129,0)),"Código no existe"))</f>
        <v/>
      </c>
      <c r="W268" s="11">
        <f>IF(C268="","",IFERROR(INDEX(Catalogo!$G$5:$G$129,MATCH(C268,Catalogo!$A$5:$A$129,0)),""))</f>
        <v/>
      </c>
      <c r="X268" s="12">
        <f>IF(C268="","",IF(ISNUMBER(F268),F268,IF(AND(ISNUMBER(D268),ISNUMBER(E268),E268&gt;0),D268/E268*IF(W268="%",100,1),IF(ISNUMBER(D268),D268,""))))</f>
        <v/>
      </c>
      <c r="Y268" s="11">
        <f>IF(C268="","",IF(A268="","Falta periodo",IF(COUNTIF(Listas!$A$2:$A$134,A268)=0,"Periodo no válido",IF(X268="","Falta valor",IF(I268="","Falta fuente: no se mostrará",IF(AND(J268="",K268=""),"Sin evidencia",IF(N268&lt;&gt;"Validado","Sin validar","OK")))))))</f>
        <v/>
      </c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9" t="n"/>
      <c r="N269" s="8" t="n"/>
      <c r="O269" s="8" t="n"/>
      <c r="P269" s="9" t="n"/>
      <c r="Q269" s="8" t="n"/>
      <c r="R269" s="8" t="n"/>
      <c r="S269" s="8" t="n"/>
      <c r="T269" s="8" t="n"/>
      <c r="U269" s="8" t="n"/>
      <c r="V269" s="11">
        <f>IF(C269="","",IFERROR(INDEX(Catalogo!$C$5:$C$129,MATCH(C269,Catalogo!$A$5:$A$129,0)),"Código no existe"))</f>
        <v/>
      </c>
      <c r="W269" s="11">
        <f>IF(C269="","",IFERROR(INDEX(Catalogo!$G$5:$G$129,MATCH(C269,Catalogo!$A$5:$A$129,0)),""))</f>
        <v/>
      </c>
      <c r="X269" s="12">
        <f>IF(C269="","",IF(ISNUMBER(F269),F269,IF(AND(ISNUMBER(D269),ISNUMBER(E269),E269&gt;0),D269/E269*IF(W269="%",100,1),IF(ISNUMBER(D269),D269,""))))</f>
        <v/>
      </c>
      <c r="Y269" s="11">
        <f>IF(C269="","",IF(A269="","Falta periodo",IF(COUNTIF(Listas!$A$2:$A$134,A269)=0,"Periodo no válido",IF(X269="","Falta valor",IF(I269="","Falta fuente: no se mostrará",IF(AND(J269="",K269=""),"Sin evidencia",IF(N269&lt;&gt;"Validado","Sin validar","OK")))))))</f>
        <v/>
      </c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9" t="n"/>
      <c r="N270" s="8" t="n"/>
      <c r="O270" s="8" t="n"/>
      <c r="P270" s="9" t="n"/>
      <c r="Q270" s="8" t="n"/>
      <c r="R270" s="8" t="n"/>
      <c r="S270" s="8" t="n"/>
      <c r="T270" s="8" t="n"/>
      <c r="U270" s="8" t="n"/>
      <c r="V270" s="11">
        <f>IF(C270="","",IFERROR(INDEX(Catalogo!$C$5:$C$129,MATCH(C270,Catalogo!$A$5:$A$129,0)),"Código no existe"))</f>
        <v/>
      </c>
      <c r="W270" s="11">
        <f>IF(C270="","",IFERROR(INDEX(Catalogo!$G$5:$G$129,MATCH(C270,Catalogo!$A$5:$A$129,0)),""))</f>
        <v/>
      </c>
      <c r="X270" s="12">
        <f>IF(C270="","",IF(ISNUMBER(F270),F270,IF(AND(ISNUMBER(D270),ISNUMBER(E270),E270&gt;0),D270/E270*IF(W270="%",100,1),IF(ISNUMBER(D270),D270,""))))</f>
        <v/>
      </c>
      <c r="Y270" s="11">
        <f>IF(C270="","",IF(A270="","Falta periodo",IF(COUNTIF(Listas!$A$2:$A$134,A270)=0,"Periodo no válido",IF(X270="","Falta valor",IF(I270="","Falta fuente: no se mostrará",IF(AND(J270="",K270=""),"Sin evidencia",IF(N270&lt;&gt;"Validado","Sin validar","OK")))))))</f>
        <v/>
      </c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9" t="n"/>
      <c r="N271" s="8" t="n"/>
      <c r="O271" s="8" t="n"/>
      <c r="P271" s="9" t="n"/>
      <c r="Q271" s="8" t="n"/>
      <c r="R271" s="8" t="n"/>
      <c r="S271" s="8" t="n"/>
      <c r="T271" s="8" t="n"/>
      <c r="U271" s="8" t="n"/>
      <c r="V271" s="11">
        <f>IF(C271="","",IFERROR(INDEX(Catalogo!$C$5:$C$129,MATCH(C271,Catalogo!$A$5:$A$129,0)),"Código no existe"))</f>
        <v/>
      </c>
      <c r="W271" s="11">
        <f>IF(C271="","",IFERROR(INDEX(Catalogo!$G$5:$G$129,MATCH(C271,Catalogo!$A$5:$A$129,0)),""))</f>
        <v/>
      </c>
      <c r="X271" s="12">
        <f>IF(C271="","",IF(ISNUMBER(F271),F271,IF(AND(ISNUMBER(D271),ISNUMBER(E271),E271&gt;0),D271/E271*IF(W271="%",100,1),IF(ISNUMBER(D271),D271,""))))</f>
        <v/>
      </c>
      <c r="Y271" s="11">
        <f>IF(C271="","",IF(A271="","Falta periodo",IF(COUNTIF(Listas!$A$2:$A$134,A271)=0,"Periodo no válido",IF(X271="","Falta valor",IF(I271="","Falta fuente: no se mostrará",IF(AND(J271="",K271=""),"Sin evidencia",IF(N271&lt;&gt;"Validado","Sin validar","OK")))))))</f>
        <v/>
      </c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9" t="n"/>
      <c r="N272" s="8" t="n"/>
      <c r="O272" s="8" t="n"/>
      <c r="P272" s="9" t="n"/>
      <c r="Q272" s="8" t="n"/>
      <c r="R272" s="8" t="n"/>
      <c r="S272" s="8" t="n"/>
      <c r="T272" s="8" t="n"/>
      <c r="U272" s="8" t="n"/>
      <c r="V272" s="11">
        <f>IF(C272="","",IFERROR(INDEX(Catalogo!$C$5:$C$129,MATCH(C272,Catalogo!$A$5:$A$129,0)),"Código no existe"))</f>
        <v/>
      </c>
      <c r="W272" s="11">
        <f>IF(C272="","",IFERROR(INDEX(Catalogo!$G$5:$G$129,MATCH(C272,Catalogo!$A$5:$A$129,0)),""))</f>
        <v/>
      </c>
      <c r="X272" s="12">
        <f>IF(C272="","",IF(ISNUMBER(F272),F272,IF(AND(ISNUMBER(D272),ISNUMBER(E272),E272&gt;0),D272/E272*IF(W272="%",100,1),IF(ISNUMBER(D272),D272,""))))</f>
        <v/>
      </c>
      <c r="Y272" s="11">
        <f>IF(C272="","",IF(A272="","Falta periodo",IF(COUNTIF(Listas!$A$2:$A$134,A272)=0,"Periodo no válido",IF(X272="","Falta valor",IF(I272="","Falta fuente: no se mostrará",IF(AND(J272="",K272=""),"Sin evidencia",IF(N272&lt;&gt;"Validado","Sin validar","OK")))))))</f>
        <v/>
      </c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9" t="n"/>
      <c r="N273" s="8" t="n"/>
      <c r="O273" s="8" t="n"/>
      <c r="P273" s="9" t="n"/>
      <c r="Q273" s="8" t="n"/>
      <c r="R273" s="8" t="n"/>
      <c r="S273" s="8" t="n"/>
      <c r="T273" s="8" t="n"/>
      <c r="U273" s="8" t="n"/>
      <c r="V273" s="11">
        <f>IF(C273="","",IFERROR(INDEX(Catalogo!$C$5:$C$129,MATCH(C273,Catalogo!$A$5:$A$129,0)),"Código no existe"))</f>
        <v/>
      </c>
      <c r="W273" s="11">
        <f>IF(C273="","",IFERROR(INDEX(Catalogo!$G$5:$G$129,MATCH(C273,Catalogo!$A$5:$A$129,0)),""))</f>
        <v/>
      </c>
      <c r="X273" s="12">
        <f>IF(C273="","",IF(ISNUMBER(F273),F273,IF(AND(ISNUMBER(D273),ISNUMBER(E273),E273&gt;0),D273/E273*IF(W273="%",100,1),IF(ISNUMBER(D273),D273,""))))</f>
        <v/>
      </c>
      <c r="Y273" s="11">
        <f>IF(C273="","",IF(A273="","Falta periodo",IF(COUNTIF(Listas!$A$2:$A$134,A273)=0,"Periodo no válido",IF(X273="","Falta valor",IF(I273="","Falta fuente: no se mostrará",IF(AND(J273="",K273=""),"Sin evidencia",IF(N273&lt;&gt;"Validado","Sin validar","OK")))))))</f>
        <v/>
      </c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9" t="n"/>
      <c r="N274" s="8" t="n"/>
      <c r="O274" s="8" t="n"/>
      <c r="P274" s="9" t="n"/>
      <c r="Q274" s="8" t="n"/>
      <c r="R274" s="8" t="n"/>
      <c r="S274" s="8" t="n"/>
      <c r="T274" s="8" t="n"/>
      <c r="U274" s="8" t="n"/>
      <c r="V274" s="11">
        <f>IF(C274="","",IFERROR(INDEX(Catalogo!$C$5:$C$129,MATCH(C274,Catalogo!$A$5:$A$129,0)),"Código no existe"))</f>
        <v/>
      </c>
      <c r="W274" s="11">
        <f>IF(C274="","",IFERROR(INDEX(Catalogo!$G$5:$G$129,MATCH(C274,Catalogo!$A$5:$A$129,0)),""))</f>
        <v/>
      </c>
      <c r="X274" s="12">
        <f>IF(C274="","",IF(ISNUMBER(F274),F274,IF(AND(ISNUMBER(D274),ISNUMBER(E274),E274&gt;0),D274/E274*IF(W274="%",100,1),IF(ISNUMBER(D274),D274,""))))</f>
        <v/>
      </c>
      <c r="Y274" s="11">
        <f>IF(C274="","",IF(A274="","Falta periodo",IF(COUNTIF(Listas!$A$2:$A$134,A274)=0,"Periodo no válido",IF(X274="","Falta valor",IF(I274="","Falta fuente: no se mostrará",IF(AND(J274="",K274=""),"Sin evidencia",IF(N274&lt;&gt;"Validado","Sin validar","OK")))))))</f>
        <v/>
      </c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9" t="n"/>
      <c r="N275" s="8" t="n"/>
      <c r="O275" s="8" t="n"/>
      <c r="P275" s="9" t="n"/>
      <c r="Q275" s="8" t="n"/>
      <c r="R275" s="8" t="n"/>
      <c r="S275" s="8" t="n"/>
      <c r="T275" s="8" t="n"/>
      <c r="U275" s="8" t="n"/>
      <c r="V275" s="11">
        <f>IF(C275="","",IFERROR(INDEX(Catalogo!$C$5:$C$129,MATCH(C275,Catalogo!$A$5:$A$129,0)),"Código no existe"))</f>
        <v/>
      </c>
      <c r="W275" s="11">
        <f>IF(C275="","",IFERROR(INDEX(Catalogo!$G$5:$G$129,MATCH(C275,Catalogo!$A$5:$A$129,0)),""))</f>
        <v/>
      </c>
      <c r="X275" s="12">
        <f>IF(C275="","",IF(ISNUMBER(F275),F275,IF(AND(ISNUMBER(D275),ISNUMBER(E275),E275&gt;0),D275/E275*IF(W275="%",100,1),IF(ISNUMBER(D275),D275,""))))</f>
        <v/>
      </c>
      <c r="Y275" s="11">
        <f>IF(C275="","",IF(A275="","Falta periodo",IF(COUNTIF(Listas!$A$2:$A$134,A275)=0,"Periodo no válido",IF(X275="","Falta valor",IF(I275="","Falta fuente: no se mostrará",IF(AND(J275="",K275=""),"Sin evidencia",IF(N275&lt;&gt;"Validado","Sin validar","OK")))))))</f>
        <v/>
      </c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9" t="n"/>
      <c r="N276" s="8" t="n"/>
      <c r="O276" s="8" t="n"/>
      <c r="P276" s="9" t="n"/>
      <c r="Q276" s="8" t="n"/>
      <c r="R276" s="8" t="n"/>
      <c r="S276" s="8" t="n"/>
      <c r="T276" s="8" t="n"/>
      <c r="U276" s="8" t="n"/>
      <c r="V276" s="11">
        <f>IF(C276="","",IFERROR(INDEX(Catalogo!$C$5:$C$129,MATCH(C276,Catalogo!$A$5:$A$129,0)),"Código no existe"))</f>
        <v/>
      </c>
      <c r="W276" s="11">
        <f>IF(C276="","",IFERROR(INDEX(Catalogo!$G$5:$G$129,MATCH(C276,Catalogo!$A$5:$A$129,0)),""))</f>
        <v/>
      </c>
      <c r="X276" s="12">
        <f>IF(C276="","",IF(ISNUMBER(F276),F276,IF(AND(ISNUMBER(D276),ISNUMBER(E276),E276&gt;0),D276/E276*IF(W276="%",100,1),IF(ISNUMBER(D276),D276,""))))</f>
        <v/>
      </c>
      <c r="Y276" s="11">
        <f>IF(C276="","",IF(A276="","Falta periodo",IF(COUNTIF(Listas!$A$2:$A$134,A276)=0,"Periodo no válido",IF(X276="","Falta valor",IF(I276="","Falta fuente: no se mostrará",IF(AND(J276="",K276=""),"Sin evidencia",IF(N276&lt;&gt;"Validado","Sin validar","OK")))))))</f>
        <v/>
      </c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9" t="n"/>
      <c r="N277" s="8" t="n"/>
      <c r="O277" s="8" t="n"/>
      <c r="P277" s="9" t="n"/>
      <c r="Q277" s="8" t="n"/>
      <c r="R277" s="8" t="n"/>
      <c r="S277" s="8" t="n"/>
      <c r="T277" s="8" t="n"/>
      <c r="U277" s="8" t="n"/>
      <c r="V277" s="11">
        <f>IF(C277="","",IFERROR(INDEX(Catalogo!$C$5:$C$129,MATCH(C277,Catalogo!$A$5:$A$129,0)),"Código no existe"))</f>
        <v/>
      </c>
      <c r="W277" s="11">
        <f>IF(C277="","",IFERROR(INDEX(Catalogo!$G$5:$G$129,MATCH(C277,Catalogo!$A$5:$A$129,0)),""))</f>
        <v/>
      </c>
      <c r="X277" s="12">
        <f>IF(C277="","",IF(ISNUMBER(F277),F277,IF(AND(ISNUMBER(D277),ISNUMBER(E277),E277&gt;0),D277/E277*IF(W277="%",100,1),IF(ISNUMBER(D277),D277,""))))</f>
        <v/>
      </c>
      <c r="Y277" s="11">
        <f>IF(C277="","",IF(A277="","Falta periodo",IF(COUNTIF(Listas!$A$2:$A$134,A277)=0,"Periodo no válido",IF(X277="","Falta valor",IF(I277="","Falta fuente: no se mostrará",IF(AND(J277="",K277=""),"Sin evidencia",IF(N277&lt;&gt;"Validado","Sin validar","OK")))))))</f>
        <v/>
      </c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9" t="n"/>
      <c r="N278" s="8" t="n"/>
      <c r="O278" s="8" t="n"/>
      <c r="P278" s="9" t="n"/>
      <c r="Q278" s="8" t="n"/>
      <c r="R278" s="8" t="n"/>
      <c r="S278" s="8" t="n"/>
      <c r="T278" s="8" t="n"/>
      <c r="U278" s="8" t="n"/>
      <c r="V278" s="11">
        <f>IF(C278="","",IFERROR(INDEX(Catalogo!$C$5:$C$129,MATCH(C278,Catalogo!$A$5:$A$129,0)),"Código no existe"))</f>
        <v/>
      </c>
      <c r="W278" s="11">
        <f>IF(C278="","",IFERROR(INDEX(Catalogo!$G$5:$G$129,MATCH(C278,Catalogo!$A$5:$A$129,0)),""))</f>
        <v/>
      </c>
      <c r="X278" s="12">
        <f>IF(C278="","",IF(ISNUMBER(F278),F278,IF(AND(ISNUMBER(D278),ISNUMBER(E278),E278&gt;0),D278/E278*IF(W278="%",100,1),IF(ISNUMBER(D278),D278,""))))</f>
        <v/>
      </c>
      <c r="Y278" s="11">
        <f>IF(C278="","",IF(A278="","Falta periodo",IF(COUNTIF(Listas!$A$2:$A$134,A278)=0,"Periodo no válido",IF(X278="","Falta valor",IF(I278="","Falta fuente: no se mostrará",IF(AND(J278="",K278=""),"Sin evidencia",IF(N278&lt;&gt;"Validado","Sin validar","OK")))))))</f>
        <v/>
      </c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9" t="n"/>
      <c r="N279" s="8" t="n"/>
      <c r="O279" s="8" t="n"/>
      <c r="P279" s="9" t="n"/>
      <c r="Q279" s="8" t="n"/>
      <c r="R279" s="8" t="n"/>
      <c r="S279" s="8" t="n"/>
      <c r="T279" s="8" t="n"/>
      <c r="U279" s="8" t="n"/>
      <c r="V279" s="11">
        <f>IF(C279="","",IFERROR(INDEX(Catalogo!$C$5:$C$129,MATCH(C279,Catalogo!$A$5:$A$129,0)),"Código no existe"))</f>
        <v/>
      </c>
      <c r="W279" s="11">
        <f>IF(C279="","",IFERROR(INDEX(Catalogo!$G$5:$G$129,MATCH(C279,Catalogo!$A$5:$A$129,0)),""))</f>
        <v/>
      </c>
      <c r="X279" s="12">
        <f>IF(C279="","",IF(ISNUMBER(F279),F279,IF(AND(ISNUMBER(D279),ISNUMBER(E279),E279&gt;0),D279/E279*IF(W279="%",100,1),IF(ISNUMBER(D279),D279,""))))</f>
        <v/>
      </c>
      <c r="Y279" s="11">
        <f>IF(C279="","",IF(A279="","Falta periodo",IF(COUNTIF(Listas!$A$2:$A$134,A279)=0,"Periodo no válido",IF(X279="","Falta valor",IF(I279="","Falta fuente: no se mostrará",IF(AND(J279="",K279=""),"Sin evidencia",IF(N279&lt;&gt;"Validado","Sin validar","OK")))))))</f>
        <v/>
      </c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9" t="n"/>
      <c r="N280" s="8" t="n"/>
      <c r="O280" s="8" t="n"/>
      <c r="P280" s="9" t="n"/>
      <c r="Q280" s="8" t="n"/>
      <c r="R280" s="8" t="n"/>
      <c r="S280" s="8" t="n"/>
      <c r="T280" s="8" t="n"/>
      <c r="U280" s="8" t="n"/>
      <c r="V280" s="11">
        <f>IF(C280="","",IFERROR(INDEX(Catalogo!$C$5:$C$129,MATCH(C280,Catalogo!$A$5:$A$129,0)),"Código no existe"))</f>
        <v/>
      </c>
      <c r="W280" s="11">
        <f>IF(C280="","",IFERROR(INDEX(Catalogo!$G$5:$G$129,MATCH(C280,Catalogo!$A$5:$A$129,0)),""))</f>
        <v/>
      </c>
      <c r="X280" s="12">
        <f>IF(C280="","",IF(ISNUMBER(F280),F280,IF(AND(ISNUMBER(D280),ISNUMBER(E280),E280&gt;0),D280/E280*IF(W280="%",100,1),IF(ISNUMBER(D280),D280,""))))</f>
        <v/>
      </c>
      <c r="Y280" s="11">
        <f>IF(C280="","",IF(A280="","Falta periodo",IF(COUNTIF(Listas!$A$2:$A$134,A280)=0,"Periodo no válido",IF(X280="","Falta valor",IF(I280="","Falta fuente: no se mostrará",IF(AND(J280="",K280=""),"Sin evidencia",IF(N280&lt;&gt;"Validado","Sin validar","OK")))))))</f>
        <v/>
      </c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9" t="n"/>
      <c r="N281" s="8" t="n"/>
      <c r="O281" s="8" t="n"/>
      <c r="P281" s="9" t="n"/>
      <c r="Q281" s="8" t="n"/>
      <c r="R281" s="8" t="n"/>
      <c r="S281" s="8" t="n"/>
      <c r="T281" s="8" t="n"/>
      <c r="U281" s="8" t="n"/>
      <c r="V281" s="11">
        <f>IF(C281="","",IFERROR(INDEX(Catalogo!$C$5:$C$129,MATCH(C281,Catalogo!$A$5:$A$129,0)),"Código no existe"))</f>
        <v/>
      </c>
      <c r="W281" s="11">
        <f>IF(C281="","",IFERROR(INDEX(Catalogo!$G$5:$G$129,MATCH(C281,Catalogo!$A$5:$A$129,0)),""))</f>
        <v/>
      </c>
      <c r="X281" s="12">
        <f>IF(C281="","",IF(ISNUMBER(F281),F281,IF(AND(ISNUMBER(D281),ISNUMBER(E281),E281&gt;0),D281/E281*IF(W281="%",100,1),IF(ISNUMBER(D281),D281,""))))</f>
        <v/>
      </c>
      <c r="Y281" s="11">
        <f>IF(C281="","",IF(A281="","Falta periodo",IF(COUNTIF(Listas!$A$2:$A$134,A281)=0,"Periodo no válido",IF(X281="","Falta valor",IF(I281="","Falta fuente: no se mostrará",IF(AND(J281="",K281=""),"Sin evidencia",IF(N281&lt;&gt;"Validado","Sin validar","OK")))))))</f>
        <v/>
      </c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9" t="n"/>
      <c r="N282" s="8" t="n"/>
      <c r="O282" s="8" t="n"/>
      <c r="P282" s="9" t="n"/>
      <c r="Q282" s="8" t="n"/>
      <c r="R282" s="8" t="n"/>
      <c r="S282" s="8" t="n"/>
      <c r="T282" s="8" t="n"/>
      <c r="U282" s="8" t="n"/>
      <c r="V282" s="11">
        <f>IF(C282="","",IFERROR(INDEX(Catalogo!$C$5:$C$129,MATCH(C282,Catalogo!$A$5:$A$129,0)),"Código no existe"))</f>
        <v/>
      </c>
      <c r="W282" s="11">
        <f>IF(C282="","",IFERROR(INDEX(Catalogo!$G$5:$G$129,MATCH(C282,Catalogo!$A$5:$A$129,0)),""))</f>
        <v/>
      </c>
      <c r="X282" s="12">
        <f>IF(C282="","",IF(ISNUMBER(F282),F282,IF(AND(ISNUMBER(D282),ISNUMBER(E282),E282&gt;0),D282/E282*IF(W282="%",100,1),IF(ISNUMBER(D282),D282,""))))</f>
        <v/>
      </c>
      <c r="Y282" s="11">
        <f>IF(C282="","",IF(A282="","Falta periodo",IF(COUNTIF(Listas!$A$2:$A$134,A282)=0,"Periodo no válido",IF(X282="","Falta valor",IF(I282="","Falta fuente: no se mostrará",IF(AND(J282="",K282=""),"Sin evidencia",IF(N282&lt;&gt;"Validado","Sin validar","OK")))))))</f>
        <v/>
      </c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9" t="n"/>
      <c r="N283" s="8" t="n"/>
      <c r="O283" s="8" t="n"/>
      <c r="P283" s="9" t="n"/>
      <c r="Q283" s="8" t="n"/>
      <c r="R283" s="8" t="n"/>
      <c r="S283" s="8" t="n"/>
      <c r="T283" s="8" t="n"/>
      <c r="U283" s="8" t="n"/>
      <c r="V283" s="11">
        <f>IF(C283="","",IFERROR(INDEX(Catalogo!$C$5:$C$129,MATCH(C283,Catalogo!$A$5:$A$129,0)),"Código no existe"))</f>
        <v/>
      </c>
      <c r="W283" s="11">
        <f>IF(C283="","",IFERROR(INDEX(Catalogo!$G$5:$G$129,MATCH(C283,Catalogo!$A$5:$A$129,0)),""))</f>
        <v/>
      </c>
      <c r="X283" s="12">
        <f>IF(C283="","",IF(ISNUMBER(F283),F283,IF(AND(ISNUMBER(D283),ISNUMBER(E283),E283&gt;0),D283/E283*IF(W283="%",100,1),IF(ISNUMBER(D283),D283,""))))</f>
        <v/>
      </c>
      <c r="Y283" s="11">
        <f>IF(C283="","",IF(A283="","Falta periodo",IF(COUNTIF(Listas!$A$2:$A$134,A283)=0,"Periodo no válido",IF(X283="","Falta valor",IF(I283="","Falta fuente: no se mostrará",IF(AND(J283="",K283=""),"Sin evidencia",IF(N283&lt;&gt;"Validado","Sin validar","OK")))))))</f>
        <v/>
      </c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9" t="n"/>
      <c r="N284" s="8" t="n"/>
      <c r="O284" s="8" t="n"/>
      <c r="P284" s="9" t="n"/>
      <c r="Q284" s="8" t="n"/>
      <c r="R284" s="8" t="n"/>
      <c r="S284" s="8" t="n"/>
      <c r="T284" s="8" t="n"/>
      <c r="U284" s="8" t="n"/>
      <c r="V284" s="11">
        <f>IF(C284="","",IFERROR(INDEX(Catalogo!$C$5:$C$129,MATCH(C284,Catalogo!$A$5:$A$129,0)),"Código no existe"))</f>
        <v/>
      </c>
      <c r="W284" s="11">
        <f>IF(C284="","",IFERROR(INDEX(Catalogo!$G$5:$G$129,MATCH(C284,Catalogo!$A$5:$A$129,0)),""))</f>
        <v/>
      </c>
      <c r="X284" s="12">
        <f>IF(C284="","",IF(ISNUMBER(F284),F284,IF(AND(ISNUMBER(D284),ISNUMBER(E284),E284&gt;0),D284/E284*IF(W284="%",100,1),IF(ISNUMBER(D284),D284,""))))</f>
        <v/>
      </c>
      <c r="Y284" s="11">
        <f>IF(C284="","",IF(A284="","Falta periodo",IF(COUNTIF(Listas!$A$2:$A$134,A284)=0,"Periodo no válido",IF(X284="","Falta valor",IF(I284="","Falta fuente: no se mostrará",IF(AND(J284="",K284=""),"Sin evidencia",IF(N284&lt;&gt;"Validado","Sin validar","OK")))))))</f>
        <v/>
      </c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9" t="n"/>
      <c r="N285" s="8" t="n"/>
      <c r="O285" s="8" t="n"/>
      <c r="P285" s="9" t="n"/>
      <c r="Q285" s="8" t="n"/>
      <c r="R285" s="8" t="n"/>
      <c r="S285" s="8" t="n"/>
      <c r="T285" s="8" t="n"/>
      <c r="U285" s="8" t="n"/>
      <c r="V285" s="11">
        <f>IF(C285="","",IFERROR(INDEX(Catalogo!$C$5:$C$129,MATCH(C285,Catalogo!$A$5:$A$129,0)),"Código no existe"))</f>
        <v/>
      </c>
      <c r="W285" s="11">
        <f>IF(C285="","",IFERROR(INDEX(Catalogo!$G$5:$G$129,MATCH(C285,Catalogo!$A$5:$A$129,0)),""))</f>
        <v/>
      </c>
      <c r="X285" s="12">
        <f>IF(C285="","",IF(ISNUMBER(F285),F285,IF(AND(ISNUMBER(D285),ISNUMBER(E285),E285&gt;0),D285/E285*IF(W285="%",100,1),IF(ISNUMBER(D285),D285,""))))</f>
        <v/>
      </c>
      <c r="Y285" s="11">
        <f>IF(C285="","",IF(A285="","Falta periodo",IF(COUNTIF(Listas!$A$2:$A$134,A285)=0,"Periodo no válido",IF(X285="","Falta valor",IF(I285="","Falta fuente: no se mostrará",IF(AND(J285="",K285=""),"Sin evidencia",IF(N285&lt;&gt;"Validado","Sin validar","OK")))))))</f>
        <v/>
      </c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9" t="n"/>
      <c r="N286" s="8" t="n"/>
      <c r="O286" s="8" t="n"/>
      <c r="P286" s="9" t="n"/>
      <c r="Q286" s="8" t="n"/>
      <c r="R286" s="8" t="n"/>
      <c r="S286" s="8" t="n"/>
      <c r="T286" s="8" t="n"/>
      <c r="U286" s="8" t="n"/>
      <c r="V286" s="11">
        <f>IF(C286="","",IFERROR(INDEX(Catalogo!$C$5:$C$129,MATCH(C286,Catalogo!$A$5:$A$129,0)),"Código no existe"))</f>
        <v/>
      </c>
      <c r="W286" s="11">
        <f>IF(C286="","",IFERROR(INDEX(Catalogo!$G$5:$G$129,MATCH(C286,Catalogo!$A$5:$A$129,0)),""))</f>
        <v/>
      </c>
      <c r="X286" s="12">
        <f>IF(C286="","",IF(ISNUMBER(F286),F286,IF(AND(ISNUMBER(D286),ISNUMBER(E286),E286&gt;0),D286/E286*IF(W286="%",100,1),IF(ISNUMBER(D286),D286,""))))</f>
        <v/>
      </c>
      <c r="Y286" s="11">
        <f>IF(C286="","",IF(A286="","Falta periodo",IF(COUNTIF(Listas!$A$2:$A$134,A286)=0,"Periodo no válido",IF(X286="","Falta valor",IF(I286="","Falta fuente: no se mostrará",IF(AND(J286="",K286=""),"Sin evidencia",IF(N286&lt;&gt;"Validado","Sin validar","OK")))))))</f>
        <v/>
      </c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9" t="n"/>
      <c r="N287" s="8" t="n"/>
      <c r="O287" s="8" t="n"/>
      <c r="P287" s="9" t="n"/>
      <c r="Q287" s="8" t="n"/>
      <c r="R287" s="8" t="n"/>
      <c r="S287" s="8" t="n"/>
      <c r="T287" s="8" t="n"/>
      <c r="U287" s="8" t="n"/>
      <c r="V287" s="11">
        <f>IF(C287="","",IFERROR(INDEX(Catalogo!$C$5:$C$129,MATCH(C287,Catalogo!$A$5:$A$129,0)),"Código no existe"))</f>
        <v/>
      </c>
      <c r="W287" s="11">
        <f>IF(C287="","",IFERROR(INDEX(Catalogo!$G$5:$G$129,MATCH(C287,Catalogo!$A$5:$A$129,0)),""))</f>
        <v/>
      </c>
      <c r="X287" s="12">
        <f>IF(C287="","",IF(ISNUMBER(F287),F287,IF(AND(ISNUMBER(D287),ISNUMBER(E287),E287&gt;0),D287/E287*IF(W287="%",100,1),IF(ISNUMBER(D287),D287,""))))</f>
        <v/>
      </c>
      <c r="Y287" s="11">
        <f>IF(C287="","",IF(A287="","Falta periodo",IF(COUNTIF(Listas!$A$2:$A$134,A287)=0,"Periodo no válido",IF(X287="","Falta valor",IF(I287="","Falta fuente: no se mostrará",IF(AND(J287="",K287=""),"Sin evidencia",IF(N287&lt;&gt;"Validado","Sin validar","OK")))))))</f>
        <v/>
      </c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9" t="n"/>
      <c r="N288" s="8" t="n"/>
      <c r="O288" s="8" t="n"/>
      <c r="P288" s="9" t="n"/>
      <c r="Q288" s="8" t="n"/>
      <c r="R288" s="8" t="n"/>
      <c r="S288" s="8" t="n"/>
      <c r="T288" s="8" t="n"/>
      <c r="U288" s="8" t="n"/>
      <c r="V288" s="11">
        <f>IF(C288="","",IFERROR(INDEX(Catalogo!$C$5:$C$129,MATCH(C288,Catalogo!$A$5:$A$129,0)),"Código no existe"))</f>
        <v/>
      </c>
      <c r="W288" s="11">
        <f>IF(C288="","",IFERROR(INDEX(Catalogo!$G$5:$G$129,MATCH(C288,Catalogo!$A$5:$A$129,0)),""))</f>
        <v/>
      </c>
      <c r="X288" s="12">
        <f>IF(C288="","",IF(ISNUMBER(F288),F288,IF(AND(ISNUMBER(D288),ISNUMBER(E288),E288&gt;0),D288/E288*IF(W288="%",100,1),IF(ISNUMBER(D288),D288,""))))</f>
        <v/>
      </c>
      <c r="Y288" s="11">
        <f>IF(C288="","",IF(A288="","Falta periodo",IF(COUNTIF(Listas!$A$2:$A$134,A288)=0,"Periodo no válido",IF(X288="","Falta valor",IF(I288="","Falta fuente: no se mostrará",IF(AND(J288="",K288=""),"Sin evidencia",IF(N288&lt;&gt;"Validado","Sin validar","OK")))))))</f>
        <v/>
      </c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9" t="n"/>
      <c r="N289" s="8" t="n"/>
      <c r="O289" s="8" t="n"/>
      <c r="P289" s="9" t="n"/>
      <c r="Q289" s="8" t="n"/>
      <c r="R289" s="8" t="n"/>
      <c r="S289" s="8" t="n"/>
      <c r="T289" s="8" t="n"/>
      <c r="U289" s="8" t="n"/>
      <c r="V289" s="11">
        <f>IF(C289="","",IFERROR(INDEX(Catalogo!$C$5:$C$129,MATCH(C289,Catalogo!$A$5:$A$129,0)),"Código no existe"))</f>
        <v/>
      </c>
      <c r="W289" s="11">
        <f>IF(C289="","",IFERROR(INDEX(Catalogo!$G$5:$G$129,MATCH(C289,Catalogo!$A$5:$A$129,0)),""))</f>
        <v/>
      </c>
      <c r="X289" s="12">
        <f>IF(C289="","",IF(ISNUMBER(F289),F289,IF(AND(ISNUMBER(D289),ISNUMBER(E289),E289&gt;0),D289/E289*IF(W289="%",100,1),IF(ISNUMBER(D289),D289,""))))</f>
        <v/>
      </c>
      <c r="Y289" s="11">
        <f>IF(C289="","",IF(A289="","Falta periodo",IF(COUNTIF(Listas!$A$2:$A$134,A289)=0,"Periodo no válido",IF(X289="","Falta valor",IF(I289="","Falta fuente: no se mostrará",IF(AND(J289="",K289=""),"Sin evidencia",IF(N289&lt;&gt;"Validado","Sin validar","OK")))))))</f>
        <v/>
      </c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9" t="n"/>
      <c r="N290" s="8" t="n"/>
      <c r="O290" s="8" t="n"/>
      <c r="P290" s="9" t="n"/>
      <c r="Q290" s="8" t="n"/>
      <c r="R290" s="8" t="n"/>
      <c r="S290" s="8" t="n"/>
      <c r="T290" s="8" t="n"/>
      <c r="U290" s="8" t="n"/>
      <c r="V290" s="11">
        <f>IF(C290="","",IFERROR(INDEX(Catalogo!$C$5:$C$129,MATCH(C290,Catalogo!$A$5:$A$129,0)),"Código no existe"))</f>
        <v/>
      </c>
      <c r="W290" s="11">
        <f>IF(C290="","",IFERROR(INDEX(Catalogo!$G$5:$G$129,MATCH(C290,Catalogo!$A$5:$A$129,0)),""))</f>
        <v/>
      </c>
      <c r="X290" s="12">
        <f>IF(C290="","",IF(ISNUMBER(F290),F290,IF(AND(ISNUMBER(D290),ISNUMBER(E290),E290&gt;0),D290/E290*IF(W290="%",100,1),IF(ISNUMBER(D290),D290,""))))</f>
        <v/>
      </c>
      <c r="Y290" s="11">
        <f>IF(C290="","",IF(A290="","Falta periodo",IF(COUNTIF(Listas!$A$2:$A$134,A290)=0,"Periodo no válido",IF(X290="","Falta valor",IF(I290="","Falta fuente: no se mostrará",IF(AND(J290="",K290=""),"Sin evidencia",IF(N290&lt;&gt;"Validado","Sin validar","OK")))))))</f>
        <v/>
      </c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9" t="n"/>
      <c r="N291" s="8" t="n"/>
      <c r="O291" s="8" t="n"/>
      <c r="P291" s="9" t="n"/>
      <c r="Q291" s="8" t="n"/>
      <c r="R291" s="8" t="n"/>
      <c r="S291" s="8" t="n"/>
      <c r="T291" s="8" t="n"/>
      <c r="U291" s="8" t="n"/>
      <c r="V291" s="11">
        <f>IF(C291="","",IFERROR(INDEX(Catalogo!$C$5:$C$129,MATCH(C291,Catalogo!$A$5:$A$129,0)),"Código no existe"))</f>
        <v/>
      </c>
      <c r="W291" s="11">
        <f>IF(C291="","",IFERROR(INDEX(Catalogo!$G$5:$G$129,MATCH(C291,Catalogo!$A$5:$A$129,0)),""))</f>
        <v/>
      </c>
      <c r="X291" s="12">
        <f>IF(C291="","",IF(ISNUMBER(F291),F291,IF(AND(ISNUMBER(D291),ISNUMBER(E291),E291&gt;0),D291/E291*IF(W291="%",100,1),IF(ISNUMBER(D291),D291,""))))</f>
        <v/>
      </c>
      <c r="Y291" s="11">
        <f>IF(C291="","",IF(A291="","Falta periodo",IF(COUNTIF(Listas!$A$2:$A$134,A291)=0,"Periodo no válido",IF(X291="","Falta valor",IF(I291="","Falta fuente: no se mostrará",IF(AND(J291="",K291=""),"Sin evidencia",IF(N291&lt;&gt;"Validado","Sin validar","OK")))))))</f>
        <v/>
      </c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9" t="n"/>
      <c r="N292" s="8" t="n"/>
      <c r="O292" s="8" t="n"/>
      <c r="P292" s="9" t="n"/>
      <c r="Q292" s="8" t="n"/>
      <c r="R292" s="8" t="n"/>
      <c r="S292" s="8" t="n"/>
      <c r="T292" s="8" t="n"/>
      <c r="U292" s="8" t="n"/>
      <c r="V292" s="11">
        <f>IF(C292="","",IFERROR(INDEX(Catalogo!$C$5:$C$129,MATCH(C292,Catalogo!$A$5:$A$129,0)),"Código no existe"))</f>
        <v/>
      </c>
      <c r="W292" s="11">
        <f>IF(C292="","",IFERROR(INDEX(Catalogo!$G$5:$G$129,MATCH(C292,Catalogo!$A$5:$A$129,0)),""))</f>
        <v/>
      </c>
      <c r="X292" s="12">
        <f>IF(C292="","",IF(ISNUMBER(F292),F292,IF(AND(ISNUMBER(D292),ISNUMBER(E292),E292&gt;0),D292/E292*IF(W292="%",100,1),IF(ISNUMBER(D292),D292,""))))</f>
        <v/>
      </c>
      <c r="Y292" s="11">
        <f>IF(C292="","",IF(A292="","Falta periodo",IF(COUNTIF(Listas!$A$2:$A$134,A292)=0,"Periodo no válido",IF(X292="","Falta valor",IF(I292="","Falta fuente: no se mostrará",IF(AND(J292="",K292=""),"Sin evidencia",IF(N292&lt;&gt;"Validado","Sin validar","OK")))))))</f>
        <v/>
      </c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9" t="n"/>
      <c r="N293" s="8" t="n"/>
      <c r="O293" s="8" t="n"/>
      <c r="P293" s="9" t="n"/>
      <c r="Q293" s="8" t="n"/>
      <c r="R293" s="8" t="n"/>
      <c r="S293" s="8" t="n"/>
      <c r="T293" s="8" t="n"/>
      <c r="U293" s="8" t="n"/>
      <c r="V293" s="11">
        <f>IF(C293="","",IFERROR(INDEX(Catalogo!$C$5:$C$129,MATCH(C293,Catalogo!$A$5:$A$129,0)),"Código no existe"))</f>
        <v/>
      </c>
      <c r="W293" s="11">
        <f>IF(C293="","",IFERROR(INDEX(Catalogo!$G$5:$G$129,MATCH(C293,Catalogo!$A$5:$A$129,0)),""))</f>
        <v/>
      </c>
      <c r="X293" s="12">
        <f>IF(C293="","",IF(ISNUMBER(F293),F293,IF(AND(ISNUMBER(D293),ISNUMBER(E293),E293&gt;0),D293/E293*IF(W293="%",100,1),IF(ISNUMBER(D293),D293,""))))</f>
        <v/>
      </c>
      <c r="Y293" s="11">
        <f>IF(C293="","",IF(A293="","Falta periodo",IF(COUNTIF(Listas!$A$2:$A$134,A293)=0,"Periodo no válido",IF(X293="","Falta valor",IF(I293="","Falta fuente: no se mostrará",IF(AND(J293="",K293=""),"Sin evidencia",IF(N293&lt;&gt;"Validado","Sin validar","OK")))))))</f>
        <v/>
      </c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9" t="n"/>
      <c r="N294" s="8" t="n"/>
      <c r="O294" s="8" t="n"/>
      <c r="P294" s="9" t="n"/>
      <c r="Q294" s="8" t="n"/>
      <c r="R294" s="8" t="n"/>
      <c r="S294" s="8" t="n"/>
      <c r="T294" s="8" t="n"/>
      <c r="U294" s="8" t="n"/>
      <c r="V294" s="11">
        <f>IF(C294="","",IFERROR(INDEX(Catalogo!$C$5:$C$129,MATCH(C294,Catalogo!$A$5:$A$129,0)),"Código no existe"))</f>
        <v/>
      </c>
      <c r="W294" s="11">
        <f>IF(C294="","",IFERROR(INDEX(Catalogo!$G$5:$G$129,MATCH(C294,Catalogo!$A$5:$A$129,0)),""))</f>
        <v/>
      </c>
      <c r="X294" s="12">
        <f>IF(C294="","",IF(ISNUMBER(F294),F294,IF(AND(ISNUMBER(D294),ISNUMBER(E294),E294&gt;0),D294/E294*IF(W294="%",100,1),IF(ISNUMBER(D294),D294,""))))</f>
        <v/>
      </c>
      <c r="Y294" s="11">
        <f>IF(C294="","",IF(A294="","Falta periodo",IF(COUNTIF(Listas!$A$2:$A$134,A294)=0,"Periodo no válido",IF(X294="","Falta valor",IF(I294="","Falta fuente: no se mostrará",IF(AND(J294="",K294=""),"Sin evidencia",IF(N294&lt;&gt;"Validado","Sin validar","OK")))))))</f>
        <v/>
      </c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9" t="n"/>
      <c r="N295" s="8" t="n"/>
      <c r="O295" s="8" t="n"/>
      <c r="P295" s="9" t="n"/>
      <c r="Q295" s="8" t="n"/>
      <c r="R295" s="8" t="n"/>
      <c r="S295" s="8" t="n"/>
      <c r="T295" s="8" t="n"/>
      <c r="U295" s="8" t="n"/>
      <c r="V295" s="11">
        <f>IF(C295="","",IFERROR(INDEX(Catalogo!$C$5:$C$129,MATCH(C295,Catalogo!$A$5:$A$129,0)),"Código no existe"))</f>
        <v/>
      </c>
      <c r="W295" s="11">
        <f>IF(C295="","",IFERROR(INDEX(Catalogo!$G$5:$G$129,MATCH(C295,Catalogo!$A$5:$A$129,0)),""))</f>
        <v/>
      </c>
      <c r="X295" s="12">
        <f>IF(C295="","",IF(ISNUMBER(F295),F295,IF(AND(ISNUMBER(D295),ISNUMBER(E295),E295&gt;0),D295/E295*IF(W295="%",100,1),IF(ISNUMBER(D295),D295,""))))</f>
        <v/>
      </c>
      <c r="Y295" s="11">
        <f>IF(C295="","",IF(A295="","Falta periodo",IF(COUNTIF(Listas!$A$2:$A$134,A295)=0,"Periodo no válido",IF(X295="","Falta valor",IF(I295="","Falta fuente: no se mostrará",IF(AND(J295="",K295=""),"Sin evidencia",IF(N295&lt;&gt;"Validado","Sin validar","OK")))))))</f>
        <v/>
      </c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9" t="n"/>
      <c r="N296" s="8" t="n"/>
      <c r="O296" s="8" t="n"/>
      <c r="P296" s="9" t="n"/>
      <c r="Q296" s="8" t="n"/>
      <c r="R296" s="8" t="n"/>
      <c r="S296" s="8" t="n"/>
      <c r="T296" s="8" t="n"/>
      <c r="U296" s="8" t="n"/>
      <c r="V296" s="11">
        <f>IF(C296="","",IFERROR(INDEX(Catalogo!$C$5:$C$129,MATCH(C296,Catalogo!$A$5:$A$129,0)),"Código no existe"))</f>
        <v/>
      </c>
      <c r="W296" s="11">
        <f>IF(C296="","",IFERROR(INDEX(Catalogo!$G$5:$G$129,MATCH(C296,Catalogo!$A$5:$A$129,0)),""))</f>
        <v/>
      </c>
      <c r="X296" s="12">
        <f>IF(C296="","",IF(ISNUMBER(F296),F296,IF(AND(ISNUMBER(D296),ISNUMBER(E296),E296&gt;0),D296/E296*IF(W296="%",100,1),IF(ISNUMBER(D296),D296,""))))</f>
        <v/>
      </c>
      <c r="Y296" s="11">
        <f>IF(C296="","",IF(A296="","Falta periodo",IF(COUNTIF(Listas!$A$2:$A$134,A296)=0,"Periodo no válido",IF(X296="","Falta valor",IF(I296="","Falta fuente: no se mostrará",IF(AND(J296="",K296=""),"Sin evidencia",IF(N296&lt;&gt;"Validado","Sin validar","OK")))))))</f>
        <v/>
      </c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9" t="n"/>
      <c r="N297" s="8" t="n"/>
      <c r="O297" s="8" t="n"/>
      <c r="P297" s="9" t="n"/>
      <c r="Q297" s="8" t="n"/>
      <c r="R297" s="8" t="n"/>
      <c r="S297" s="8" t="n"/>
      <c r="T297" s="8" t="n"/>
      <c r="U297" s="8" t="n"/>
      <c r="V297" s="11">
        <f>IF(C297="","",IFERROR(INDEX(Catalogo!$C$5:$C$129,MATCH(C297,Catalogo!$A$5:$A$129,0)),"Código no existe"))</f>
        <v/>
      </c>
      <c r="W297" s="11">
        <f>IF(C297="","",IFERROR(INDEX(Catalogo!$G$5:$G$129,MATCH(C297,Catalogo!$A$5:$A$129,0)),""))</f>
        <v/>
      </c>
      <c r="X297" s="12">
        <f>IF(C297="","",IF(ISNUMBER(F297),F297,IF(AND(ISNUMBER(D297),ISNUMBER(E297),E297&gt;0),D297/E297*IF(W297="%",100,1),IF(ISNUMBER(D297),D297,""))))</f>
        <v/>
      </c>
      <c r="Y297" s="11">
        <f>IF(C297="","",IF(A297="","Falta periodo",IF(COUNTIF(Listas!$A$2:$A$134,A297)=0,"Periodo no válido",IF(X297="","Falta valor",IF(I297="","Falta fuente: no se mostrará",IF(AND(J297="",K297=""),"Sin evidencia",IF(N297&lt;&gt;"Validado","Sin validar","OK")))))))</f>
        <v/>
      </c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9" t="n"/>
      <c r="N298" s="8" t="n"/>
      <c r="O298" s="8" t="n"/>
      <c r="P298" s="9" t="n"/>
      <c r="Q298" s="8" t="n"/>
      <c r="R298" s="8" t="n"/>
      <c r="S298" s="8" t="n"/>
      <c r="T298" s="8" t="n"/>
      <c r="U298" s="8" t="n"/>
      <c r="V298" s="11">
        <f>IF(C298="","",IFERROR(INDEX(Catalogo!$C$5:$C$129,MATCH(C298,Catalogo!$A$5:$A$129,0)),"Código no existe"))</f>
        <v/>
      </c>
      <c r="W298" s="11">
        <f>IF(C298="","",IFERROR(INDEX(Catalogo!$G$5:$G$129,MATCH(C298,Catalogo!$A$5:$A$129,0)),""))</f>
        <v/>
      </c>
      <c r="X298" s="12">
        <f>IF(C298="","",IF(ISNUMBER(F298),F298,IF(AND(ISNUMBER(D298),ISNUMBER(E298),E298&gt;0),D298/E298*IF(W298="%",100,1),IF(ISNUMBER(D298),D298,""))))</f>
        <v/>
      </c>
      <c r="Y298" s="11">
        <f>IF(C298="","",IF(A298="","Falta periodo",IF(COUNTIF(Listas!$A$2:$A$134,A298)=0,"Periodo no válido",IF(X298="","Falta valor",IF(I298="","Falta fuente: no se mostrará",IF(AND(J298="",K298=""),"Sin evidencia",IF(N298&lt;&gt;"Validado","Sin validar","OK")))))))</f>
        <v/>
      </c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9" t="n"/>
      <c r="N299" s="8" t="n"/>
      <c r="O299" s="8" t="n"/>
      <c r="P299" s="9" t="n"/>
      <c r="Q299" s="8" t="n"/>
      <c r="R299" s="8" t="n"/>
      <c r="S299" s="8" t="n"/>
      <c r="T299" s="8" t="n"/>
      <c r="U299" s="8" t="n"/>
      <c r="V299" s="11">
        <f>IF(C299="","",IFERROR(INDEX(Catalogo!$C$5:$C$129,MATCH(C299,Catalogo!$A$5:$A$129,0)),"Código no existe"))</f>
        <v/>
      </c>
      <c r="W299" s="11">
        <f>IF(C299="","",IFERROR(INDEX(Catalogo!$G$5:$G$129,MATCH(C299,Catalogo!$A$5:$A$129,0)),""))</f>
        <v/>
      </c>
      <c r="X299" s="12">
        <f>IF(C299="","",IF(ISNUMBER(F299),F299,IF(AND(ISNUMBER(D299),ISNUMBER(E299),E299&gt;0),D299/E299*IF(W299="%",100,1),IF(ISNUMBER(D299),D299,""))))</f>
        <v/>
      </c>
      <c r="Y299" s="11">
        <f>IF(C299="","",IF(A299="","Falta periodo",IF(COUNTIF(Listas!$A$2:$A$134,A299)=0,"Periodo no válido",IF(X299="","Falta valor",IF(I299="","Falta fuente: no se mostrará",IF(AND(J299="",K299=""),"Sin evidencia",IF(N299&lt;&gt;"Validado","Sin validar","OK")))))))</f>
        <v/>
      </c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9" t="n"/>
      <c r="N300" s="8" t="n"/>
      <c r="O300" s="8" t="n"/>
      <c r="P300" s="9" t="n"/>
      <c r="Q300" s="8" t="n"/>
      <c r="R300" s="8" t="n"/>
      <c r="S300" s="8" t="n"/>
      <c r="T300" s="8" t="n"/>
      <c r="U300" s="8" t="n"/>
      <c r="V300" s="11">
        <f>IF(C300="","",IFERROR(INDEX(Catalogo!$C$5:$C$129,MATCH(C300,Catalogo!$A$5:$A$129,0)),"Código no existe"))</f>
        <v/>
      </c>
      <c r="W300" s="11">
        <f>IF(C300="","",IFERROR(INDEX(Catalogo!$G$5:$G$129,MATCH(C300,Catalogo!$A$5:$A$129,0)),""))</f>
        <v/>
      </c>
      <c r="X300" s="12">
        <f>IF(C300="","",IF(ISNUMBER(F300),F300,IF(AND(ISNUMBER(D300),ISNUMBER(E300),E300&gt;0),D300/E300*IF(W300="%",100,1),IF(ISNUMBER(D300),D300,""))))</f>
        <v/>
      </c>
      <c r="Y300" s="11">
        <f>IF(C300="","",IF(A300="","Falta periodo",IF(COUNTIF(Listas!$A$2:$A$134,A300)=0,"Periodo no válido",IF(X300="","Falta valor",IF(I300="","Falta fuente: no se mostrará",IF(AND(J300="",K300=""),"Sin evidencia",IF(N300&lt;&gt;"Validado","Sin validar","OK")))))))</f>
        <v/>
      </c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9" t="n"/>
      <c r="N301" s="8" t="n"/>
      <c r="O301" s="8" t="n"/>
      <c r="P301" s="9" t="n"/>
      <c r="Q301" s="8" t="n"/>
      <c r="R301" s="8" t="n"/>
      <c r="S301" s="8" t="n"/>
      <c r="T301" s="8" t="n"/>
      <c r="U301" s="8" t="n"/>
      <c r="V301" s="11">
        <f>IF(C301="","",IFERROR(INDEX(Catalogo!$C$5:$C$129,MATCH(C301,Catalogo!$A$5:$A$129,0)),"Código no existe"))</f>
        <v/>
      </c>
      <c r="W301" s="11">
        <f>IF(C301="","",IFERROR(INDEX(Catalogo!$G$5:$G$129,MATCH(C301,Catalogo!$A$5:$A$129,0)),""))</f>
        <v/>
      </c>
      <c r="X301" s="12">
        <f>IF(C301="","",IF(ISNUMBER(F301),F301,IF(AND(ISNUMBER(D301),ISNUMBER(E301),E301&gt;0),D301/E301*IF(W301="%",100,1),IF(ISNUMBER(D301),D301,""))))</f>
        <v/>
      </c>
      <c r="Y301" s="11">
        <f>IF(C301="","",IF(A301="","Falta periodo",IF(COUNTIF(Listas!$A$2:$A$134,A301)=0,"Periodo no válido",IF(X301="","Falta valor",IF(I301="","Falta fuente: no se mostrará",IF(AND(J301="",K301=""),"Sin evidencia",IF(N301&lt;&gt;"Validado","Sin validar","OK")))))))</f>
        <v/>
      </c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9" t="n"/>
      <c r="N302" s="8" t="n"/>
      <c r="O302" s="8" t="n"/>
      <c r="P302" s="9" t="n"/>
      <c r="Q302" s="8" t="n"/>
      <c r="R302" s="8" t="n"/>
      <c r="S302" s="8" t="n"/>
      <c r="T302" s="8" t="n"/>
      <c r="U302" s="8" t="n"/>
      <c r="V302" s="11">
        <f>IF(C302="","",IFERROR(INDEX(Catalogo!$C$5:$C$129,MATCH(C302,Catalogo!$A$5:$A$129,0)),"Código no existe"))</f>
        <v/>
      </c>
      <c r="W302" s="11">
        <f>IF(C302="","",IFERROR(INDEX(Catalogo!$G$5:$G$129,MATCH(C302,Catalogo!$A$5:$A$129,0)),""))</f>
        <v/>
      </c>
      <c r="X302" s="12">
        <f>IF(C302="","",IF(ISNUMBER(F302),F302,IF(AND(ISNUMBER(D302),ISNUMBER(E302),E302&gt;0),D302/E302*IF(W302="%",100,1),IF(ISNUMBER(D302),D302,""))))</f>
        <v/>
      </c>
      <c r="Y302" s="11">
        <f>IF(C302="","",IF(A302="","Falta periodo",IF(COUNTIF(Listas!$A$2:$A$134,A302)=0,"Periodo no válido",IF(X302="","Falta valor",IF(I302="","Falta fuente: no se mostrará",IF(AND(J302="",K302=""),"Sin evidencia",IF(N302&lt;&gt;"Validado","Sin validar","OK")))))))</f>
        <v/>
      </c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9" t="n"/>
      <c r="N303" s="8" t="n"/>
      <c r="O303" s="8" t="n"/>
      <c r="P303" s="9" t="n"/>
      <c r="Q303" s="8" t="n"/>
      <c r="R303" s="8" t="n"/>
      <c r="S303" s="8" t="n"/>
      <c r="T303" s="8" t="n"/>
      <c r="U303" s="8" t="n"/>
      <c r="V303" s="11">
        <f>IF(C303="","",IFERROR(INDEX(Catalogo!$C$5:$C$129,MATCH(C303,Catalogo!$A$5:$A$129,0)),"Código no existe"))</f>
        <v/>
      </c>
      <c r="W303" s="11">
        <f>IF(C303="","",IFERROR(INDEX(Catalogo!$G$5:$G$129,MATCH(C303,Catalogo!$A$5:$A$129,0)),""))</f>
        <v/>
      </c>
      <c r="X303" s="12">
        <f>IF(C303="","",IF(ISNUMBER(F303),F303,IF(AND(ISNUMBER(D303),ISNUMBER(E303),E303&gt;0),D303/E303*IF(W303="%",100,1),IF(ISNUMBER(D303),D303,""))))</f>
        <v/>
      </c>
      <c r="Y303" s="11">
        <f>IF(C303="","",IF(A303="","Falta periodo",IF(COUNTIF(Listas!$A$2:$A$134,A303)=0,"Periodo no válido",IF(X303="","Falta valor",IF(I303="","Falta fuente: no se mostrará",IF(AND(J303="",K303=""),"Sin evidencia",IF(N303&lt;&gt;"Validado","Sin validar","OK")))))))</f>
        <v/>
      </c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9" t="n"/>
      <c r="N304" s="8" t="n"/>
      <c r="O304" s="8" t="n"/>
      <c r="P304" s="9" t="n"/>
      <c r="Q304" s="8" t="n"/>
      <c r="R304" s="8" t="n"/>
      <c r="S304" s="8" t="n"/>
      <c r="T304" s="8" t="n"/>
      <c r="U304" s="8" t="n"/>
      <c r="V304" s="11">
        <f>IF(C304="","",IFERROR(INDEX(Catalogo!$C$5:$C$129,MATCH(C304,Catalogo!$A$5:$A$129,0)),"Código no existe"))</f>
        <v/>
      </c>
      <c r="W304" s="11">
        <f>IF(C304="","",IFERROR(INDEX(Catalogo!$G$5:$G$129,MATCH(C304,Catalogo!$A$5:$A$129,0)),""))</f>
        <v/>
      </c>
      <c r="X304" s="12">
        <f>IF(C304="","",IF(ISNUMBER(F304),F304,IF(AND(ISNUMBER(D304),ISNUMBER(E304),E304&gt;0),D304/E304*IF(W304="%",100,1),IF(ISNUMBER(D304),D304,""))))</f>
        <v/>
      </c>
      <c r="Y304" s="11">
        <f>IF(C304="","",IF(A304="","Falta periodo",IF(COUNTIF(Listas!$A$2:$A$134,A304)=0,"Periodo no válido",IF(X304="","Falta valor",IF(I304="","Falta fuente: no se mostrará",IF(AND(J304="",K304=""),"Sin evidencia",IF(N304&lt;&gt;"Validado","Sin validar","OK")))))))</f>
        <v/>
      </c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9" t="n"/>
      <c r="N305" s="8" t="n"/>
      <c r="O305" s="8" t="n"/>
      <c r="P305" s="9" t="n"/>
      <c r="Q305" s="8" t="n"/>
      <c r="R305" s="8" t="n"/>
      <c r="S305" s="8" t="n"/>
      <c r="T305" s="8" t="n"/>
      <c r="U305" s="8" t="n"/>
      <c r="V305" s="11">
        <f>IF(C305="","",IFERROR(INDEX(Catalogo!$C$5:$C$129,MATCH(C305,Catalogo!$A$5:$A$129,0)),"Código no existe"))</f>
        <v/>
      </c>
      <c r="W305" s="11">
        <f>IF(C305="","",IFERROR(INDEX(Catalogo!$G$5:$G$129,MATCH(C305,Catalogo!$A$5:$A$129,0)),""))</f>
        <v/>
      </c>
      <c r="X305" s="12">
        <f>IF(C305="","",IF(ISNUMBER(F305),F305,IF(AND(ISNUMBER(D305),ISNUMBER(E305),E305&gt;0),D305/E305*IF(W305="%",100,1),IF(ISNUMBER(D305),D305,""))))</f>
        <v/>
      </c>
      <c r="Y305" s="11">
        <f>IF(C305="","",IF(A305="","Falta periodo",IF(COUNTIF(Listas!$A$2:$A$134,A305)=0,"Periodo no válido",IF(X305="","Falta valor",IF(I305="","Falta fuente: no se mostrará",IF(AND(J305="",K305=""),"Sin evidencia",IF(N305&lt;&gt;"Validado","Sin validar","OK")))))))</f>
        <v/>
      </c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9" t="n"/>
      <c r="N306" s="8" t="n"/>
      <c r="O306" s="8" t="n"/>
      <c r="P306" s="9" t="n"/>
      <c r="Q306" s="8" t="n"/>
      <c r="R306" s="8" t="n"/>
      <c r="S306" s="8" t="n"/>
      <c r="T306" s="8" t="n"/>
      <c r="U306" s="8" t="n"/>
      <c r="V306" s="11">
        <f>IF(C306="","",IFERROR(INDEX(Catalogo!$C$5:$C$129,MATCH(C306,Catalogo!$A$5:$A$129,0)),"Código no existe"))</f>
        <v/>
      </c>
      <c r="W306" s="11">
        <f>IF(C306="","",IFERROR(INDEX(Catalogo!$G$5:$G$129,MATCH(C306,Catalogo!$A$5:$A$129,0)),""))</f>
        <v/>
      </c>
      <c r="X306" s="12">
        <f>IF(C306="","",IF(ISNUMBER(F306),F306,IF(AND(ISNUMBER(D306),ISNUMBER(E306),E306&gt;0),D306/E306*IF(W306="%",100,1),IF(ISNUMBER(D306),D306,""))))</f>
        <v/>
      </c>
      <c r="Y306" s="11">
        <f>IF(C306="","",IF(A306="","Falta periodo",IF(COUNTIF(Listas!$A$2:$A$134,A306)=0,"Periodo no válido",IF(X306="","Falta valor",IF(I306="","Falta fuente: no se mostrará",IF(AND(J306="",K306=""),"Sin evidencia",IF(N306&lt;&gt;"Validado","Sin validar","OK")))))))</f>
        <v/>
      </c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9" t="n"/>
      <c r="N307" s="8" t="n"/>
      <c r="O307" s="8" t="n"/>
      <c r="P307" s="9" t="n"/>
      <c r="Q307" s="8" t="n"/>
      <c r="R307" s="8" t="n"/>
      <c r="S307" s="8" t="n"/>
      <c r="T307" s="8" t="n"/>
      <c r="U307" s="8" t="n"/>
      <c r="V307" s="11">
        <f>IF(C307="","",IFERROR(INDEX(Catalogo!$C$5:$C$129,MATCH(C307,Catalogo!$A$5:$A$129,0)),"Código no existe"))</f>
        <v/>
      </c>
      <c r="W307" s="11">
        <f>IF(C307="","",IFERROR(INDEX(Catalogo!$G$5:$G$129,MATCH(C307,Catalogo!$A$5:$A$129,0)),""))</f>
        <v/>
      </c>
      <c r="X307" s="12">
        <f>IF(C307="","",IF(ISNUMBER(F307),F307,IF(AND(ISNUMBER(D307),ISNUMBER(E307),E307&gt;0),D307/E307*IF(W307="%",100,1),IF(ISNUMBER(D307),D307,""))))</f>
        <v/>
      </c>
      <c r="Y307" s="11">
        <f>IF(C307="","",IF(A307="","Falta periodo",IF(COUNTIF(Listas!$A$2:$A$134,A307)=0,"Periodo no válido",IF(X307="","Falta valor",IF(I307="","Falta fuente: no se mostrará",IF(AND(J307="",K307=""),"Sin evidencia",IF(N307&lt;&gt;"Validado","Sin validar","OK")))))))</f>
        <v/>
      </c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9" t="n"/>
      <c r="N308" s="8" t="n"/>
      <c r="O308" s="8" t="n"/>
      <c r="P308" s="9" t="n"/>
      <c r="Q308" s="8" t="n"/>
      <c r="R308" s="8" t="n"/>
      <c r="S308" s="8" t="n"/>
      <c r="T308" s="8" t="n"/>
      <c r="U308" s="8" t="n"/>
      <c r="V308" s="11">
        <f>IF(C308="","",IFERROR(INDEX(Catalogo!$C$5:$C$129,MATCH(C308,Catalogo!$A$5:$A$129,0)),"Código no existe"))</f>
        <v/>
      </c>
      <c r="W308" s="11">
        <f>IF(C308="","",IFERROR(INDEX(Catalogo!$G$5:$G$129,MATCH(C308,Catalogo!$A$5:$A$129,0)),""))</f>
        <v/>
      </c>
      <c r="X308" s="12">
        <f>IF(C308="","",IF(ISNUMBER(F308),F308,IF(AND(ISNUMBER(D308),ISNUMBER(E308),E308&gt;0),D308/E308*IF(W308="%",100,1),IF(ISNUMBER(D308),D308,""))))</f>
        <v/>
      </c>
      <c r="Y308" s="11">
        <f>IF(C308="","",IF(A308="","Falta periodo",IF(COUNTIF(Listas!$A$2:$A$134,A308)=0,"Periodo no válido",IF(X308="","Falta valor",IF(I308="","Falta fuente: no se mostrará",IF(AND(J308="",K308=""),"Sin evidencia",IF(N308&lt;&gt;"Validado","Sin validar","OK")))))))</f>
        <v/>
      </c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9" t="n"/>
      <c r="N309" s="8" t="n"/>
      <c r="O309" s="8" t="n"/>
      <c r="P309" s="9" t="n"/>
      <c r="Q309" s="8" t="n"/>
      <c r="R309" s="8" t="n"/>
      <c r="S309" s="8" t="n"/>
      <c r="T309" s="8" t="n"/>
      <c r="U309" s="8" t="n"/>
      <c r="V309" s="11">
        <f>IF(C309="","",IFERROR(INDEX(Catalogo!$C$5:$C$129,MATCH(C309,Catalogo!$A$5:$A$129,0)),"Código no existe"))</f>
        <v/>
      </c>
      <c r="W309" s="11">
        <f>IF(C309="","",IFERROR(INDEX(Catalogo!$G$5:$G$129,MATCH(C309,Catalogo!$A$5:$A$129,0)),""))</f>
        <v/>
      </c>
      <c r="X309" s="12">
        <f>IF(C309="","",IF(ISNUMBER(F309),F309,IF(AND(ISNUMBER(D309),ISNUMBER(E309),E309&gt;0),D309/E309*IF(W309="%",100,1),IF(ISNUMBER(D309),D309,""))))</f>
        <v/>
      </c>
      <c r="Y309" s="11">
        <f>IF(C309="","",IF(A309="","Falta periodo",IF(COUNTIF(Listas!$A$2:$A$134,A309)=0,"Periodo no válido",IF(X309="","Falta valor",IF(I309="","Falta fuente: no se mostrará",IF(AND(J309="",K309=""),"Sin evidencia",IF(N309&lt;&gt;"Validado","Sin validar","OK")))))))</f>
        <v/>
      </c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9" t="n"/>
      <c r="N310" s="8" t="n"/>
      <c r="O310" s="8" t="n"/>
      <c r="P310" s="9" t="n"/>
      <c r="Q310" s="8" t="n"/>
      <c r="R310" s="8" t="n"/>
      <c r="S310" s="8" t="n"/>
      <c r="T310" s="8" t="n"/>
      <c r="U310" s="8" t="n"/>
      <c r="V310" s="11">
        <f>IF(C310="","",IFERROR(INDEX(Catalogo!$C$5:$C$129,MATCH(C310,Catalogo!$A$5:$A$129,0)),"Código no existe"))</f>
        <v/>
      </c>
      <c r="W310" s="11">
        <f>IF(C310="","",IFERROR(INDEX(Catalogo!$G$5:$G$129,MATCH(C310,Catalogo!$A$5:$A$129,0)),""))</f>
        <v/>
      </c>
      <c r="X310" s="12">
        <f>IF(C310="","",IF(ISNUMBER(F310),F310,IF(AND(ISNUMBER(D310),ISNUMBER(E310),E310&gt;0),D310/E310*IF(W310="%",100,1),IF(ISNUMBER(D310),D310,""))))</f>
        <v/>
      </c>
      <c r="Y310" s="11">
        <f>IF(C310="","",IF(A310="","Falta periodo",IF(COUNTIF(Listas!$A$2:$A$134,A310)=0,"Periodo no válido",IF(X310="","Falta valor",IF(I310="","Falta fuente: no se mostrará",IF(AND(J310="",K310=""),"Sin evidencia",IF(N310&lt;&gt;"Validado","Sin validar","OK")))))))</f>
        <v/>
      </c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9" t="n"/>
      <c r="N311" s="8" t="n"/>
      <c r="O311" s="8" t="n"/>
      <c r="P311" s="9" t="n"/>
      <c r="Q311" s="8" t="n"/>
      <c r="R311" s="8" t="n"/>
      <c r="S311" s="8" t="n"/>
      <c r="T311" s="8" t="n"/>
      <c r="U311" s="8" t="n"/>
      <c r="V311" s="11">
        <f>IF(C311="","",IFERROR(INDEX(Catalogo!$C$5:$C$129,MATCH(C311,Catalogo!$A$5:$A$129,0)),"Código no existe"))</f>
        <v/>
      </c>
      <c r="W311" s="11">
        <f>IF(C311="","",IFERROR(INDEX(Catalogo!$G$5:$G$129,MATCH(C311,Catalogo!$A$5:$A$129,0)),""))</f>
        <v/>
      </c>
      <c r="X311" s="12">
        <f>IF(C311="","",IF(ISNUMBER(F311),F311,IF(AND(ISNUMBER(D311),ISNUMBER(E311),E311&gt;0),D311/E311*IF(W311="%",100,1),IF(ISNUMBER(D311),D311,""))))</f>
        <v/>
      </c>
      <c r="Y311" s="11">
        <f>IF(C311="","",IF(A311="","Falta periodo",IF(COUNTIF(Listas!$A$2:$A$134,A311)=0,"Periodo no válido",IF(X311="","Falta valor",IF(I311="","Falta fuente: no se mostrará",IF(AND(J311="",K311=""),"Sin evidencia",IF(N311&lt;&gt;"Validado","Sin validar","OK")))))))</f>
        <v/>
      </c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9" t="n"/>
      <c r="N312" s="8" t="n"/>
      <c r="O312" s="8" t="n"/>
      <c r="P312" s="9" t="n"/>
      <c r="Q312" s="8" t="n"/>
      <c r="R312" s="8" t="n"/>
      <c r="S312" s="8" t="n"/>
      <c r="T312" s="8" t="n"/>
      <c r="U312" s="8" t="n"/>
      <c r="V312" s="11">
        <f>IF(C312="","",IFERROR(INDEX(Catalogo!$C$5:$C$129,MATCH(C312,Catalogo!$A$5:$A$129,0)),"Código no existe"))</f>
        <v/>
      </c>
      <c r="W312" s="11">
        <f>IF(C312="","",IFERROR(INDEX(Catalogo!$G$5:$G$129,MATCH(C312,Catalogo!$A$5:$A$129,0)),""))</f>
        <v/>
      </c>
      <c r="X312" s="12">
        <f>IF(C312="","",IF(ISNUMBER(F312),F312,IF(AND(ISNUMBER(D312),ISNUMBER(E312),E312&gt;0),D312/E312*IF(W312="%",100,1),IF(ISNUMBER(D312),D312,""))))</f>
        <v/>
      </c>
      <c r="Y312" s="11">
        <f>IF(C312="","",IF(A312="","Falta periodo",IF(COUNTIF(Listas!$A$2:$A$134,A312)=0,"Periodo no válido",IF(X312="","Falta valor",IF(I312="","Falta fuente: no se mostrará",IF(AND(J312="",K312=""),"Sin evidencia",IF(N312&lt;&gt;"Validado","Sin validar","OK")))))))</f>
        <v/>
      </c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9" t="n"/>
      <c r="N313" s="8" t="n"/>
      <c r="O313" s="8" t="n"/>
      <c r="P313" s="9" t="n"/>
      <c r="Q313" s="8" t="n"/>
      <c r="R313" s="8" t="n"/>
      <c r="S313" s="8" t="n"/>
      <c r="T313" s="8" t="n"/>
      <c r="U313" s="8" t="n"/>
      <c r="V313" s="11">
        <f>IF(C313="","",IFERROR(INDEX(Catalogo!$C$5:$C$129,MATCH(C313,Catalogo!$A$5:$A$129,0)),"Código no existe"))</f>
        <v/>
      </c>
      <c r="W313" s="11">
        <f>IF(C313="","",IFERROR(INDEX(Catalogo!$G$5:$G$129,MATCH(C313,Catalogo!$A$5:$A$129,0)),""))</f>
        <v/>
      </c>
      <c r="X313" s="12">
        <f>IF(C313="","",IF(ISNUMBER(F313),F313,IF(AND(ISNUMBER(D313),ISNUMBER(E313),E313&gt;0),D313/E313*IF(W313="%",100,1),IF(ISNUMBER(D313),D313,""))))</f>
        <v/>
      </c>
      <c r="Y313" s="11">
        <f>IF(C313="","",IF(A313="","Falta periodo",IF(COUNTIF(Listas!$A$2:$A$134,A313)=0,"Periodo no válido",IF(X313="","Falta valor",IF(I313="","Falta fuente: no se mostrará",IF(AND(J313="",K313=""),"Sin evidencia",IF(N313&lt;&gt;"Validado","Sin validar","OK")))))))</f>
        <v/>
      </c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9" t="n"/>
      <c r="N314" s="8" t="n"/>
      <c r="O314" s="8" t="n"/>
      <c r="P314" s="9" t="n"/>
      <c r="Q314" s="8" t="n"/>
      <c r="R314" s="8" t="n"/>
      <c r="S314" s="8" t="n"/>
      <c r="T314" s="8" t="n"/>
      <c r="U314" s="8" t="n"/>
      <c r="V314" s="11">
        <f>IF(C314="","",IFERROR(INDEX(Catalogo!$C$5:$C$129,MATCH(C314,Catalogo!$A$5:$A$129,0)),"Código no existe"))</f>
        <v/>
      </c>
      <c r="W314" s="11">
        <f>IF(C314="","",IFERROR(INDEX(Catalogo!$G$5:$G$129,MATCH(C314,Catalogo!$A$5:$A$129,0)),""))</f>
        <v/>
      </c>
      <c r="X314" s="12">
        <f>IF(C314="","",IF(ISNUMBER(F314),F314,IF(AND(ISNUMBER(D314),ISNUMBER(E314),E314&gt;0),D314/E314*IF(W314="%",100,1),IF(ISNUMBER(D314),D314,""))))</f>
        <v/>
      </c>
      <c r="Y314" s="11">
        <f>IF(C314="","",IF(A314="","Falta periodo",IF(COUNTIF(Listas!$A$2:$A$134,A314)=0,"Periodo no válido",IF(X314="","Falta valor",IF(I314="","Falta fuente: no se mostrará",IF(AND(J314="",K314=""),"Sin evidencia",IF(N314&lt;&gt;"Validado","Sin validar","OK")))))))</f>
        <v/>
      </c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9" t="n"/>
      <c r="N315" s="8" t="n"/>
      <c r="O315" s="8" t="n"/>
      <c r="P315" s="9" t="n"/>
      <c r="Q315" s="8" t="n"/>
      <c r="R315" s="8" t="n"/>
      <c r="S315" s="8" t="n"/>
      <c r="T315" s="8" t="n"/>
      <c r="U315" s="8" t="n"/>
      <c r="V315" s="11">
        <f>IF(C315="","",IFERROR(INDEX(Catalogo!$C$5:$C$129,MATCH(C315,Catalogo!$A$5:$A$129,0)),"Código no existe"))</f>
        <v/>
      </c>
      <c r="W315" s="11">
        <f>IF(C315="","",IFERROR(INDEX(Catalogo!$G$5:$G$129,MATCH(C315,Catalogo!$A$5:$A$129,0)),""))</f>
        <v/>
      </c>
      <c r="X315" s="12">
        <f>IF(C315="","",IF(ISNUMBER(F315),F315,IF(AND(ISNUMBER(D315),ISNUMBER(E315),E315&gt;0),D315/E315*IF(W315="%",100,1),IF(ISNUMBER(D315),D315,""))))</f>
        <v/>
      </c>
      <c r="Y315" s="11">
        <f>IF(C315="","",IF(A315="","Falta periodo",IF(COUNTIF(Listas!$A$2:$A$134,A315)=0,"Periodo no válido",IF(X315="","Falta valor",IF(I315="","Falta fuente: no se mostrará",IF(AND(J315="",K315=""),"Sin evidencia",IF(N315&lt;&gt;"Validado","Sin validar","OK")))))))</f>
        <v/>
      </c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9" t="n"/>
      <c r="N316" s="8" t="n"/>
      <c r="O316" s="8" t="n"/>
      <c r="P316" s="9" t="n"/>
      <c r="Q316" s="8" t="n"/>
      <c r="R316" s="8" t="n"/>
      <c r="S316" s="8" t="n"/>
      <c r="T316" s="8" t="n"/>
      <c r="U316" s="8" t="n"/>
      <c r="V316" s="11">
        <f>IF(C316="","",IFERROR(INDEX(Catalogo!$C$5:$C$129,MATCH(C316,Catalogo!$A$5:$A$129,0)),"Código no existe"))</f>
        <v/>
      </c>
      <c r="W316" s="11">
        <f>IF(C316="","",IFERROR(INDEX(Catalogo!$G$5:$G$129,MATCH(C316,Catalogo!$A$5:$A$129,0)),""))</f>
        <v/>
      </c>
      <c r="X316" s="12">
        <f>IF(C316="","",IF(ISNUMBER(F316),F316,IF(AND(ISNUMBER(D316),ISNUMBER(E316),E316&gt;0),D316/E316*IF(W316="%",100,1),IF(ISNUMBER(D316),D316,""))))</f>
        <v/>
      </c>
      <c r="Y316" s="11">
        <f>IF(C316="","",IF(A316="","Falta periodo",IF(COUNTIF(Listas!$A$2:$A$134,A316)=0,"Periodo no válido",IF(X316="","Falta valor",IF(I316="","Falta fuente: no se mostrará",IF(AND(J316="",K316=""),"Sin evidencia",IF(N316&lt;&gt;"Validado","Sin validar","OK")))))))</f>
        <v/>
      </c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9" t="n"/>
      <c r="N317" s="8" t="n"/>
      <c r="O317" s="8" t="n"/>
      <c r="P317" s="9" t="n"/>
      <c r="Q317" s="8" t="n"/>
      <c r="R317" s="8" t="n"/>
      <c r="S317" s="8" t="n"/>
      <c r="T317" s="8" t="n"/>
      <c r="U317" s="8" t="n"/>
      <c r="V317" s="11">
        <f>IF(C317="","",IFERROR(INDEX(Catalogo!$C$5:$C$129,MATCH(C317,Catalogo!$A$5:$A$129,0)),"Código no existe"))</f>
        <v/>
      </c>
      <c r="W317" s="11">
        <f>IF(C317="","",IFERROR(INDEX(Catalogo!$G$5:$G$129,MATCH(C317,Catalogo!$A$5:$A$129,0)),""))</f>
        <v/>
      </c>
      <c r="X317" s="12">
        <f>IF(C317="","",IF(ISNUMBER(F317),F317,IF(AND(ISNUMBER(D317),ISNUMBER(E317),E317&gt;0),D317/E317*IF(W317="%",100,1),IF(ISNUMBER(D317),D317,""))))</f>
        <v/>
      </c>
      <c r="Y317" s="11">
        <f>IF(C317="","",IF(A317="","Falta periodo",IF(COUNTIF(Listas!$A$2:$A$134,A317)=0,"Periodo no válido",IF(X317="","Falta valor",IF(I317="","Falta fuente: no se mostrará",IF(AND(J317="",K317=""),"Sin evidencia",IF(N317&lt;&gt;"Validado","Sin validar","OK")))))))</f>
        <v/>
      </c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9" t="n"/>
      <c r="N318" s="8" t="n"/>
      <c r="O318" s="8" t="n"/>
      <c r="P318" s="9" t="n"/>
      <c r="Q318" s="8" t="n"/>
      <c r="R318" s="8" t="n"/>
      <c r="S318" s="8" t="n"/>
      <c r="T318" s="8" t="n"/>
      <c r="U318" s="8" t="n"/>
      <c r="V318" s="11">
        <f>IF(C318="","",IFERROR(INDEX(Catalogo!$C$5:$C$129,MATCH(C318,Catalogo!$A$5:$A$129,0)),"Código no existe"))</f>
        <v/>
      </c>
      <c r="W318" s="11">
        <f>IF(C318="","",IFERROR(INDEX(Catalogo!$G$5:$G$129,MATCH(C318,Catalogo!$A$5:$A$129,0)),""))</f>
        <v/>
      </c>
      <c r="X318" s="12">
        <f>IF(C318="","",IF(ISNUMBER(F318),F318,IF(AND(ISNUMBER(D318),ISNUMBER(E318),E318&gt;0),D318/E318*IF(W318="%",100,1),IF(ISNUMBER(D318),D318,""))))</f>
        <v/>
      </c>
      <c r="Y318" s="11">
        <f>IF(C318="","",IF(A318="","Falta periodo",IF(COUNTIF(Listas!$A$2:$A$134,A318)=0,"Periodo no válido",IF(X318="","Falta valor",IF(I318="","Falta fuente: no se mostrará",IF(AND(J318="",K318=""),"Sin evidencia",IF(N318&lt;&gt;"Validado","Sin validar","OK")))))))</f>
        <v/>
      </c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9" t="n"/>
      <c r="N319" s="8" t="n"/>
      <c r="O319" s="8" t="n"/>
      <c r="P319" s="9" t="n"/>
      <c r="Q319" s="8" t="n"/>
      <c r="R319" s="8" t="n"/>
      <c r="S319" s="8" t="n"/>
      <c r="T319" s="8" t="n"/>
      <c r="U319" s="8" t="n"/>
      <c r="V319" s="11">
        <f>IF(C319="","",IFERROR(INDEX(Catalogo!$C$5:$C$129,MATCH(C319,Catalogo!$A$5:$A$129,0)),"Código no existe"))</f>
        <v/>
      </c>
      <c r="W319" s="11">
        <f>IF(C319="","",IFERROR(INDEX(Catalogo!$G$5:$G$129,MATCH(C319,Catalogo!$A$5:$A$129,0)),""))</f>
        <v/>
      </c>
      <c r="X319" s="12">
        <f>IF(C319="","",IF(ISNUMBER(F319),F319,IF(AND(ISNUMBER(D319),ISNUMBER(E319),E319&gt;0),D319/E319*IF(W319="%",100,1),IF(ISNUMBER(D319),D319,""))))</f>
        <v/>
      </c>
      <c r="Y319" s="11">
        <f>IF(C319="","",IF(A319="","Falta periodo",IF(COUNTIF(Listas!$A$2:$A$134,A319)=0,"Periodo no válido",IF(X319="","Falta valor",IF(I319="","Falta fuente: no se mostrará",IF(AND(J319="",K319=""),"Sin evidencia",IF(N319&lt;&gt;"Validado","Sin validar","OK")))))))</f>
        <v/>
      </c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9" t="n"/>
      <c r="N320" s="8" t="n"/>
      <c r="O320" s="8" t="n"/>
      <c r="P320" s="9" t="n"/>
      <c r="Q320" s="8" t="n"/>
      <c r="R320" s="8" t="n"/>
      <c r="S320" s="8" t="n"/>
      <c r="T320" s="8" t="n"/>
      <c r="U320" s="8" t="n"/>
      <c r="V320" s="11">
        <f>IF(C320="","",IFERROR(INDEX(Catalogo!$C$5:$C$129,MATCH(C320,Catalogo!$A$5:$A$129,0)),"Código no existe"))</f>
        <v/>
      </c>
      <c r="W320" s="11">
        <f>IF(C320="","",IFERROR(INDEX(Catalogo!$G$5:$G$129,MATCH(C320,Catalogo!$A$5:$A$129,0)),""))</f>
        <v/>
      </c>
      <c r="X320" s="12">
        <f>IF(C320="","",IF(ISNUMBER(F320),F320,IF(AND(ISNUMBER(D320),ISNUMBER(E320),E320&gt;0),D320/E320*IF(W320="%",100,1),IF(ISNUMBER(D320),D320,""))))</f>
        <v/>
      </c>
      <c r="Y320" s="11">
        <f>IF(C320="","",IF(A320="","Falta periodo",IF(COUNTIF(Listas!$A$2:$A$134,A320)=0,"Periodo no válido",IF(X320="","Falta valor",IF(I320="","Falta fuente: no se mostrará",IF(AND(J320="",K320=""),"Sin evidencia",IF(N320&lt;&gt;"Validado","Sin validar","OK")))))))</f>
        <v/>
      </c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9" t="n"/>
      <c r="N321" s="8" t="n"/>
      <c r="O321" s="8" t="n"/>
      <c r="P321" s="9" t="n"/>
      <c r="Q321" s="8" t="n"/>
      <c r="R321" s="8" t="n"/>
      <c r="S321" s="8" t="n"/>
      <c r="T321" s="8" t="n"/>
      <c r="U321" s="8" t="n"/>
      <c r="V321" s="11">
        <f>IF(C321="","",IFERROR(INDEX(Catalogo!$C$5:$C$129,MATCH(C321,Catalogo!$A$5:$A$129,0)),"Código no existe"))</f>
        <v/>
      </c>
      <c r="W321" s="11">
        <f>IF(C321="","",IFERROR(INDEX(Catalogo!$G$5:$G$129,MATCH(C321,Catalogo!$A$5:$A$129,0)),""))</f>
        <v/>
      </c>
      <c r="X321" s="12">
        <f>IF(C321="","",IF(ISNUMBER(F321),F321,IF(AND(ISNUMBER(D321),ISNUMBER(E321),E321&gt;0),D321/E321*IF(W321="%",100,1),IF(ISNUMBER(D321),D321,""))))</f>
        <v/>
      </c>
      <c r="Y321" s="11">
        <f>IF(C321="","",IF(A321="","Falta periodo",IF(COUNTIF(Listas!$A$2:$A$134,A321)=0,"Periodo no válido",IF(X321="","Falta valor",IF(I321="","Falta fuente: no se mostrará",IF(AND(J321="",K321=""),"Sin evidencia",IF(N321&lt;&gt;"Validado","Sin validar","OK")))))))</f>
        <v/>
      </c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9" t="n"/>
      <c r="N322" s="8" t="n"/>
      <c r="O322" s="8" t="n"/>
      <c r="P322" s="9" t="n"/>
      <c r="Q322" s="8" t="n"/>
      <c r="R322" s="8" t="n"/>
      <c r="S322" s="8" t="n"/>
      <c r="T322" s="8" t="n"/>
      <c r="U322" s="8" t="n"/>
      <c r="V322" s="11">
        <f>IF(C322="","",IFERROR(INDEX(Catalogo!$C$5:$C$129,MATCH(C322,Catalogo!$A$5:$A$129,0)),"Código no existe"))</f>
        <v/>
      </c>
      <c r="W322" s="11">
        <f>IF(C322="","",IFERROR(INDEX(Catalogo!$G$5:$G$129,MATCH(C322,Catalogo!$A$5:$A$129,0)),""))</f>
        <v/>
      </c>
      <c r="X322" s="12">
        <f>IF(C322="","",IF(ISNUMBER(F322),F322,IF(AND(ISNUMBER(D322),ISNUMBER(E322),E322&gt;0),D322/E322*IF(W322="%",100,1),IF(ISNUMBER(D322),D322,""))))</f>
        <v/>
      </c>
      <c r="Y322" s="11">
        <f>IF(C322="","",IF(A322="","Falta periodo",IF(COUNTIF(Listas!$A$2:$A$134,A322)=0,"Periodo no válido",IF(X322="","Falta valor",IF(I322="","Falta fuente: no se mostrará",IF(AND(J322="",K322=""),"Sin evidencia",IF(N322&lt;&gt;"Validado","Sin validar","OK")))))))</f>
        <v/>
      </c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9" t="n"/>
      <c r="N323" s="8" t="n"/>
      <c r="O323" s="8" t="n"/>
      <c r="P323" s="9" t="n"/>
      <c r="Q323" s="8" t="n"/>
      <c r="R323" s="8" t="n"/>
      <c r="S323" s="8" t="n"/>
      <c r="T323" s="8" t="n"/>
      <c r="U323" s="8" t="n"/>
      <c r="V323" s="11">
        <f>IF(C323="","",IFERROR(INDEX(Catalogo!$C$5:$C$129,MATCH(C323,Catalogo!$A$5:$A$129,0)),"Código no existe"))</f>
        <v/>
      </c>
      <c r="W323" s="11">
        <f>IF(C323="","",IFERROR(INDEX(Catalogo!$G$5:$G$129,MATCH(C323,Catalogo!$A$5:$A$129,0)),""))</f>
        <v/>
      </c>
      <c r="X323" s="12">
        <f>IF(C323="","",IF(ISNUMBER(F323),F323,IF(AND(ISNUMBER(D323),ISNUMBER(E323),E323&gt;0),D323/E323*IF(W323="%",100,1),IF(ISNUMBER(D323),D323,""))))</f>
        <v/>
      </c>
      <c r="Y323" s="11">
        <f>IF(C323="","",IF(A323="","Falta periodo",IF(COUNTIF(Listas!$A$2:$A$134,A323)=0,"Periodo no válido",IF(X323="","Falta valor",IF(I323="","Falta fuente: no se mostrará",IF(AND(J323="",K323=""),"Sin evidencia",IF(N323&lt;&gt;"Validado","Sin validar","OK")))))))</f>
        <v/>
      </c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9" t="n"/>
      <c r="N324" s="8" t="n"/>
      <c r="O324" s="8" t="n"/>
      <c r="P324" s="9" t="n"/>
      <c r="Q324" s="8" t="n"/>
      <c r="R324" s="8" t="n"/>
      <c r="S324" s="8" t="n"/>
      <c r="T324" s="8" t="n"/>
      <c r="U324" s="8" t="n"/>
      <c r="V324" s="11">
        <f>IF(C324="","",IFERROR(INDEX(Catalogo!$C$5:$C$129,MATCH(C324,Catalogo!$A$5:$A$129,0)),"Código no existe"))</f>
        <v/>
      </c>
      <c r="W324" s="11">
        <f>IF(C324="","",IFERROR(INDEX(Catalogo!$G$5:$G$129,MATCH(C324,Catalogo!$A$5:$A$129,0)),""))</f>
        <v/>
      </c>
      <c r="X324" s="12">
        <f>IF(C324="","",IF(ISNUMBER(F324),F324,IF(AND(ISNUMBER(D324),ISNUMBER(E324),E324&gt;0),D324/E324*IF(W324="%",100,1),IF(ISNUMBER(D324),D324,""))))</f>
        <v/>
      </c>
      <c r="Y324" s="11">
        <f>IF(C324="","",IF(A324="","Falta periodo",IF(COUNTIF(Listas!$A$2:$A$134,A324)=0,"Periodo no válido",IF(X324="","Falta valor",IF(I324="","Falta fuente: no se mostrará",IF(AND(J324="",K324=""),"Sin evidencia",IF(N324&lt;&gt;"Validado","Sin validar","OK")))))))</f>
        <v/>
      </c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9" t="n"/>
      <c r="N325" s="8" t="n"/>
      <c r="O325" s="8" t="n"/>
      <c r="P325" s="9" t="n"/>
      <c r="Q325" s="8" t="n"/>
      <c r="R325" s="8" t="n"/>
      <c r="S325" s="8" t="n"/>
      <c r="T325" s="8" t="n"/>
      <c r="U325" s="8" t="n"/>
      <c r="V325" s="11">
        <f>IF(C325="","",IFERROR(INDEX(Catalogo!$C$5:$C$129,MATCH(C325,Catalogo!$A$5:$A$129,0)),"Código no existe"))</f>
        <v/>
      </c>
      <c r="W325" s="11">
        <f>IF(C325="","",IFERROR(INDEX(Catalogo!$G$5:$G$129,MATCH(C325,Catalogo!$A$5:$A$129,0)),""))</f>
        <v/>
      </c>
      <c r="X325" s="12">
        <f>IF(C325="","",IF(ISNUMBER(F325),F325,IF(AND(ISNUMBER(D325),ISNUMBER(E325),E325&gt;0),D325/E325*IF(W325="%",100,1),IF(ISNUMBER(D325),D325,""))))</f>
        <v/>
      </c>
      <c r="Y325" s="11">
        <f>IF(C325="","",IF(A325="","Falta periodo",IF(COUNTIF(Listas!$A$2:$A$134,A325)=0,"Periodo no válido",IF(X325="","Falta valor",IF(I325="","Falta fuente: no se mostrará",IF(AND(J325="",K325=""),"Sin evidencia",IF(N325&lt;&gt;"Validado","Sin validar","OK")))))))</f>
        <v/>
      </c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9" t="n"/>
      <c r="N326" s="8" t="n"/>
      <c r="O326" s="8" t="n"/>
      <c r="P326" s="9" t="n"/>
      <c r="Q326" s="8" t="n"/>
      <c r="R326" s="8" t="n"/>
      <c r="S326" s="8" t="n"/>
      <c r="T326" s="8" t="n"/>
      <c r="U326" s="8" t="n"/>
      <c r="V326" s="11">
        <f>IF(C326="","",IFERROR(INDEX(Catalogo!$C$5:$C$129,MATCH(C326,Catalogo!$A$5:$A$129,0)),"Código no existe"))</f>
        <v/>
      </c>
      <c r="W326" s="11">
        <f>IF(C326="","",IFERROR(INDEX(Catalogo!$G$5:$G$129,MATCH(C326,Catalogo!$A$5:$A$129,0)),""))</f>
        <v/>
      </c>
      <c r="X326" s="12">
        <f>IF(C326="","",IF(ISNUMBER(F326),F326,IF(AND(ISNUMBER(D326),ISNUMBER(E326),E326&gt;0),D326/E326*IF(W326="%",100,1),IF(ISNUMBER(D326),D326,""))))</f>
        <v/>
      </c>
      <c r="Y326" s="11">
        <f>IF(C326="","",IF(A326="","Falta periodo",IF(COUNTIF(Listas!$A$2:$A$134,A326)=0,"Periodo no válido",IF(X326="","Falta valor",IF(I326="","Falta fuente: no se mostrará",IF(AND(J326="",K326=""),"Sin evidencia",IF(N326&lt;&gt;"Validado","Sin validar","OK")))))))</f>
        <v/>
      </c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9" t="n"/>
      <c r="N327" s="8" t="n"/>
      <c r="O327" s="8" t="n"/>
      <c r="P327" s="9" t="n"/>
      <c r="Q327" s="8" t="n"/>
      <c r="R327" s="8" t="n"/>
      <c r="S327" s="8" t="n"/>
      <c r="T327" s="8" t="n"/>
      <c r="U327" s="8" t="n"/>
      <c r="V327" s="11">
        <f>IF(C327="","",IFERROR(INDEX(Catalogo!$C$5:$C$129,MATCH(C327,Catalogo!$A$5:$A$129,0)),"Código no existe"))</f>
        <v/>
      </c>
      <c r="W327" s="11">
        <f>IF(C327="","",IFERROR(INDEX(Catalogo!$G$5:$G$129,MATCH(C327,Catalogo!$A$5:$A$129,0)),""))</f>
        <v/>
      </c>
      <c r="X327" s="12">
        <f>IF(C327="","",IF(ISNUMBER(F327),F327,IF(AND(ISNUMBER(D327),ISNUMBER(E327),E327&gt;0),D327/E327*IF(W327="%",100,1),IF(ISNUMBER(D327),D327,""))))</f>
        <v/>
      </c>
      <c r="Y327" s="11">
        <f>IF(C327="","",IF(A327="","Falta periodo",IF(COUNTIF(Listas!$A$2:$A$134,A327)=0,"Periodo no válido",IF(X327="","Falta valor",IF(I327="","Falta fuente: no se mostrará",IF(AND(J327="",K327=""),"Sin evidencia",IF(N327&lt;&gt;"Validado","Sin validar","OK")))))))</f>
        <v/>
      </c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9" t="n"/>
      <c r="N328" s="8" t="n"/>
      <c r="O328" s="8" t="n"/>
      <c r="P328" s="9" t="n"/>
      <c r="Q328" s="8" t="n"/>
      <c r="R328" s="8" t="n"/>
      <c r="S328" s="8" t="n"/>
      <c r="T328" s="8" t="n"/>
      <c r="U328" s="8" t="n"/>
      <c r="V328" s="11">
        <f>IF(C328="","",IFERROR(INDEX(Catalogo!$C$5:$C$129,MATCH(C328,Catalogo!$A$5:$A$129,0)),"Código no existe"))</f>
        <v/>
      </c>
      <c r="W328" s="11">
        <f>IF(C328="","",IFERROR(INDEX(Catalogo!$G$5:$G$129,MATCH(C328,Catalogo!$A$5:$A$129,0)),""))</f>
        <v/>
      </c>
      <c r="X328" s="12">
        <f>IF(C328="","",IF(ISNUMBER(F328),F328,IF(AND(ISNUMBER(D328),ISNUMBER(E328),E328&gt;0),D328/E328*IF(W328="%",100,1),IF(ISNUMBER(D328),D328,""))))</f>
        <v/>
      </c>
      <c r="Y328" s="11">
        <f>IF(C328="","",IF(A328="","Falta periodo",IF(COUNTIF(Listas!$A$2:$A$134,A328)=0,"Periodo no válido",IF(X328="","Falta valor",IF(I328="","Falta fuente: no se mostrará",IF(AND(J328="",K328=""),"Sin evidencia",IF(N328&lt;&gt;"Validado","Sin validar","OK")))))))</f>
        <v/>
      </c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9" t="n"/>
      <c r="N329" s="8" t="n"/>
      <c r="O329" s="8" t="n"/>
      <c r="P329" s="9" t="n"/>
      <c r="Q329" s="8" t="n"/>
      <c r="R329" s="8" t="n"/>
      <c r="S329" s="8" t="n"/>
      <c r="T329" s="8" t="n"/>
      <c r="U329" s="8" t="n"/>
      <c r="V329" s="11">
        <f>IF(C329="","",IFERROR(INDEX(Catalogo!$C$5:$C$129,MATCH(C329,Catalogo!$A$5:$A$129,0)),"Código no existe"))</f>
        <v/>
      </c>
      <c r="W329" s="11">
        <f>IF(C329="","",IFERROR(INDEX(Catalogo!$G$5:$G$129,MATCH(C329,Catalogo!$A$5:$A$129,0)),""))</f>
        <v/>
      </c>
      <c r="X329" s="12">
        <f>IF(C329="","",IF(ISNUMBER(F329),F329,IF(AND(ISNUMBER(D329),ISNUMBER(E329),E329&gt;0),D329/E329*IF(W329="%",100,1),IF(ISNUMBER(D329),D329,""))))</f>
        <v/>
      </c>
      <c r="Y329" s="11">
        <f>IF(C329="","",IF(A329="","Falta periodo",IF(COUNTIF(Listas!$A$2:$A$134,A329)=0,"Periodo no válido",IF(X329="","Falta valor",IF(I329="","Falta fuente: no se mostrará",IF(AND(J329="",K329=""),"Sin evidencia",IF(N329&lt;&gt;"Validado","Sin validar","OK")))))))</f>
        <v/>
      </c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9" t="n"/>
      <c r="N330" s="8" t="n"/>
      <c r="O330" s="8" t="n"/>
      <c r="P330" s="9" t="n"/>
      <c r="Q330" s="8" t="n"/>
      <c r="R330" s="8" t="n"/>
      <c r="S330" s="8" t="n"/>
      <c r="T330" s="8" t="n"/>
      <c r="U330" s="8" t="n"/>
      <c r="V330" s="11">
        <f>IF(C330="","",IFERROR(INDEX(Catalogo!$C$5:$C$129,MATCH(C330,Catalogo!$A$5:$A$129,0)),"Código no existe"))</f>
        <v/>
      </c>
      <c r="W330" s="11">
        <f>IF(C330="","",IFERROR(INDEX(Catalogo!$G$5:$G$129,MATCH(C330,Catalogo!$A$5:$A$129,0)),""))</f>
        <v/>
      </c>
      <c r="X330" s="12">
        <f>IF(C330="","",IF(ISNUMBER(F330),F330,IF(AND(ISNUMBER(D330),ISNUMBER(E330),E330&gt;0),D330/E330*IF(W330="%",100,1),IF(ISNUMBER(D330),D330,""))))</f>
        <v/>
      </c>
      <c r="Y330" s="11">
        <f>IF(C330="","",IF(A330="","Falta periodo",IF(COUNTIF(Listas!$A$2:$A$134,A330)=0,"Periodo no válido",IF(X330="","Falta valor",IF(I330="","Falta fuente: no se mostrará",IF(AND(J330="",K330=""),"Sin evidencia",IF(N330&lt;&gt;"Validado","Sin validar","OK")))))))</f>
        <v/>
      </c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9" t="n"/>
      <c r="N331" s="8" t="n"/>
      <c r="O331" s="8" t="n"/>
      <c r="P331" s="9" t="n"/>
      <c r="Q331" s="8" t="n"/>
      <c r="R331" s="8" t="n"/>
      <c r="S331" s="8" t="n"/>
      <c r="T331" s="8" t="n"/>
      <c r="U331" s="8" t="n"/>
      <c r="V331" s="11">
        <f>IF(C331="","",IFERROR(INDEX(Catalogo!$C$5:$C$129,MATCH(C331,Catalogo!$A$5:$A$129,0)),"Código no existe"))</f>
        <v/>
      </c>
      <c r="W331" s="11">
        <f>IF(C331="","",IFERROR(INDEX(Catalogo!$G$5:$G$129,MATCH(C331,Catalogo!$A$5:$A$129,0)),""))</f>
        <v/>
      </c>
      <c r="X331" s="12">
        <f>IF(C331="","",IF(ISNUMBER(F331),F331,IF(AND(ISNUMBER(D331),ISNUMBER(E331),E331&gt;0),D331/E331*IF(W331="%",100,1),IF(ISNUMBER(D331),D331,""))))</f>
        <v/>
      </c>
      <c r="Y331" s="11">
        <f>IF(C331="","",IF(A331="","Falta periodo",IF(COUNTIF(Listas!$A$2:$A$134,A331)=0,"Periodo no válido",IF(X331="","Falta valor",IF(I331="","Falta fuente: no se mostrará",IF(AND(J331="",K331=""),"Sin evidencia",IF(N331&lt;&gt;"Validado","Sin validar","OK")))))))</f>
        <v/>
      </c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9" t="n"/>
      <c r="N332" s="8" t="n"/>
      <c r="O332" s="8" t="n"/>
      <c r="P332" s="9" t="n"/>
      <c r="Q332" s="8" t="n"/>
      <c r="R332" s="8" t="n"/>
      <c r="S332" s="8" t="n"/>
      <c r="T332" s="8" t="n"/>
      <c r="U332" s="8" t="n"/>
      <c r="V332" s="11">
        <f>IF(C332="","",IFERROR(INDEX(Catalogo!$C$5:$C$129,MATCH(C332,Catalogo!$A$5:$A$129,0)),"Código no existe"))</f>
        <v/>
      </c>
      <c r="W332" s="11">
        <f>IF(C332="","",IFERROR(INDEX(Catalogo!$G$5:$G$129,MATCH(C332,Catalogo!$A$5:$A$129,0)),""))</f>
        <v/>
      </c>
      <c r="X332" s="12">
        <f>IF(C332="","",IF(ISNUMBER(F332),F332,IF(AND(ISNUMBER(D332),ISNUMBER(E332),E332&gt;0),D332/E332*IF(W332="%",100,1),IF(ISNUMBER(D332),D332,""))))</f>
        <v/>
      </c>
      <c r="Y332" s="11">
        <f>IF(C332="","",IF(A332="","Falta periodo",IF(COUNTIF(Listas!$A$2:$A$134,A332)=0,"Periodo no válido",IF(X332="","Falta valor",IF(I332="","Falta fuente: no se mostrará",IF(AND(J332="",K332=""),"Sin evidencia",IF(N332&lt;&gt;"Validado","Sin validar","OK")))))))</f>
        <v/>
      </c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9" t="n"/>
      <c r="N333" s="8" t="n"/>
      <c r="O333" s="8" t="n"/>
      <c r="P333" s="9" t="n"/>
      <c r="Q333" s="8" t="n"/>
      <c r="R333" s="8" t="n"/>
      <c r="S333" s="8" t="n"/>
      <c r="T333" s="8" t="n"/>
      <c r="U333" s="8" t="n"/>
      <c r="V333" s="11">
        <f>IF(C333="","",IFERROR(INDEX(Catalogo!$C$5:$C$129,MATCH(C333,Catalogo!$A$5:$A$129,0)),"Código no existe"))</f>
        <v/>
      </c>
      <c r="W333" s="11">
        <f>IF(C333="","",IFERROR(INDEX(Catalogo!$G$5:$G$129,MATCH(C333,Catalogo!$A$5:$A$129,0)),""))</f>
        <v/>
      </c>
      <c r="X333" s="12">
        <f>IF(C333="","",IF(ISNUMBER(F333),F333,IF(AND(ISNUMBER(D333),ISNUMBER(E333),E333&gt;0),D333/E333*IF(W333="%",100,1),IF(ISNUMBER(D333),D333,""))))</f>
        <v/>
      </c>
      <c r="Y333" s="11">
        <f>IF(C333="","",IF(A333="","Falta periodo",IF(COUNTIF(Listas!$A$2:$A$134,A333)=0,"Periodo no válido",IF(X333="","Falta valor",IF(I333="","Falta fuente: no se mostrará",IF(AND(J333="",K333=""),"Sin evidencia",IF(N333&lt;&gt;"Validado","Sin validar","OK")))))))</f>
        <v/>
      </c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9" t="n"/>
      <c r="N334" s="8" t="n"/>
      <c r="O334" s="8" t="n"/>
      <c r="P334" s="9" t="n"/>
      <c r="Q334" s="8" t="n"/>
      <c r="R334" s="8" t="n"/>
      <c r="S334" s="8" t="n"/>
      <c r="T334" s="8" t="n"/>
      <c r="U334" s="8" t="n"/>
      <c r="V334" s="11">
        <f>IF(C334="","",IFERROR(INDEX(Catalogo!$C$5:$C$129,MATCH(C334,Catalogo!$A$5:$A$129,0)),"Código no existe"))</f>
        <v/>
      </c>
      <c r="W334" s="11">
        <f>IF(C334="","",IFERROR(INDEX(Catalogo!$G$5:$G$129,MATCH(C334,Catalogo!$A$5:$A$129,0)),""))</f>
        <v/>
      </c>
      <c r="X334" s="12">
        <f>IF(C334="","",IF(ISNUMBER(F334),F334,IF(AND(ISNUMBER(D334),ISNUMBER(E334),E334&gt;0),D334/E334*IF(W334="%",100,1),IF(ISNUMBER(D334),D334,""))))</f>
        <v/>
      </c>
      <c r="Y334" s="11">
        <f>IF(C334="","",IF(A334="","Falta periodo",IF(COUNTIF(Listas!$A$2:$A$134,A334)=0,"Periodo no válido",IF(X334="","Falta valor",IF(I334="","Falta fuente: no se mostrará",IF(AND(J334="",K334=""),"Sin evidencia",IF(N334&lt;&gt;"Validado","Sin validar","OK")))))))</f>
        <v/>
      </c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9" t="n"/>
      <c r="N335" s="8" t="n"/>
      <c r="O335" s="8" t="n"/>
      <c r="P335" s="9" t="n"/>
      <c r="Q335" s="8" t="n"/>
      <c r="R335" s="8" t="n"/>
      <c r="S335" s="8" t="n"/>
      <c r="T335" s="8" t="n"/>
      <c r="U335" s="8" t="n"/>
      <c r="V335" s="11">
        <f>IF(C335="","",IFERROR(INDEX(Catalogo!$C$5:$C$129,MATCH(C335,Catalogo!$A$5:$A$129,0)),"Código no existe"))</f>
        <v/>
      </c>
      <c r="W335" s="11">
        <f>IF(C335="","",IFERROR(INDEX(Catalogo!$G$5:$G$129,MATCH(C335,Catalogo!$A$5:$A$129,0)),""))</f>
        <v/>
      </c>
      <c r="X335" s="12">
        <f>IF(C335="","",IF(ISNUMBER(F335),F335,IF(AND(ISNUMBER(D335),ISNUMBER(E335),E335&gt;0),D335/E335*IF(W335="%",100,1),IF(ISNUMBER(D335),D335,""))))</f>
        <v/>
      </c>
      <c r="Y335" s="11">
        <f>IF(C335="","",IF(A335="","Falta periodo",IF(COUNTIF(Listas!$A$2:$A$134,A335)=0,"Periodo no válido",IF(X335="","Falta valor",IF(I335="","Falta fuente: no se mostrará",IF(AND(J335="",K335=""),"Sin evidencia",IF(N335&lt;&gt;"Validado","Sin validar","OK")))))))</f>
        <v/>
      </c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9" t="n"/>
      <c r="N336" s="8" t="n"/>
      <c r="O336" s="8" t="n"/>
      <c r="P336" s="9" t="n"/>
      <c r="Q336" s="8" t="n"/>
      <c r="R336" s="8" t="n"/>
      <c r="S336" s="8" t="n"/>
      <c r="T336" s="8" t="n"/>
      <c r="U336" s="8" t="n"/>
      <c r="V336" s="11">
        <f>IF(C336="","",IFERROR(INDEX(Catalogo!$C$5:$C$129,MATCH(C336,Catalogo!$A$5:$A$129,0)),"Código no existe"))</f>
        <v/>
      </c>
      <c r="W336" s="11">
        <f>IF(C336="","",IFERROR(INDEX(Catalogo!$G$5:$G$129,MATCH(C336,Catalogo!$A$5:$A$129,0)),""))</f>
        <v/>
      </c>
      <c r="X336" s="12">
        <f>IF(C336="","",IF(ISNUMBER(F336),F336,IF(AND(ISNUMBER(D336),ISNUMBER(E336),E336&gt;0),D336/E336*IF(W336="%",100,1),IF(ISNUMBER(D336),D336,""))))</f>
        <v/>
      </c>
      <c r="Y336" s="11">
        <f>IF(C336="","",IF(A336="","Falta periodo",IF(COUNTIF(Listas!$A$2:$A$134,A336)=0,"Periodo no válido",IF(X336="","Falta valor",IF(I336="","Falta fuente: no se mostrará",IF(AND(J336="",K336=""),"Sin evidencia",IF(N336&lt;&gt;"Validado","Sin validar","OK")))))))</f>
        <v/>
      </c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9" t="n"/>
      <c r="N337" s="8" t="n"/>
      <c r="O337" s="8" t="n"/>
      <c r="P337" s="9" t="n"/>
      <c r="Q337" s="8" t="n"/>
      <c r="R337" s="8" t="n"/>
      <c r="S337" s="8" t="n"/>
      <c r="T337" s="8" t="n"/>
      <c r="U337" s="8" t="n"/>
      <c r="V337" s="11">
        <f>IF(C337="","",IFERROR(INDEX(Catalogo!$C$5:$C$129,MATCH(C337,Catalogo!$A$5:$A$129,0)),"Código no existe"))</f>
        <v/>
      </c>
      <c r="W337" s="11">
        <f>IF(C337="","",IFERROR(INDEX(Catalogo!$G$5:$G$129,MATCH(C337,Catalogo!$A$5:$A$129,0)),""))</f>
        <v/>
      </c>
      <c r="X337" s="12">
        <f>IF(C337="","",IF(ISNUMBER(F337),F337,IF(AND(ISNUMBER(D337),ISNUMBER(E337),E337&gt;0),D337/E337*IF(W337="%",100,1),IF(ISNUMBER(D337),D337,""))))</f>
        <v/>
      </c>
      <c r="Y337" s="11">
        <f>IF(C337="","",IF(A337="","Falta periodo",IF(COUNTIF(Listas!$A$2:$A$134,A337)=0,"Periodo no válido",IF(X337="","Falta valor",IF(I337="","Falta fuente: no se mostrará",IF(AND(J337="",K337=""),"Sin evidencia",IF(N337&lt;&gt;"Validado","Sin validar","OK")))))))</f>
        <v/>
      </c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9" t="n"/>
      <c r="N338" s="8" t="n"/>
      <c r="O338" s="8" t="n"/>
      <c r="P338" s="9" t="n"/>
      <c r="Q338" s="8" t="n"/>
      <c r="R338" s="8" t="n"/>
      <c r="S338" s="8" t="n"/>
      <c r="T338" s="8" t="n"/>
      <c r="U338" s="8" t="n"/>
      <c r="V338" s="11">
        <f>IF(C338="","",IFERROR(INDEX(Catalogo!$C$5:$C$129,MATCH(C338,Catalogo!$A$5:$A$129,0)),"Código no existe"))</f>
        <v/>
      </c>
      <c r="W338" s="11">
        <f>IF(C338="","",IFERROR(INDEX(Catalogo!$G$5:$G$129,MATCH(C338,Catalogo!$A$5:$A$129,0)),""))</f>
        <v/>
      </c>
      <c r="X338" s="12">
        <f>IF(C338="","",IF(ISNUMBER(F338),F338,IF(AND(ISNUMBER(D338),ISNUMBER(E338),E338&gt;0),D338/E338*IF(W338="%",100,1),IF(ISNUMBER(D338),D338,""))))</f>
        <v/>
      </c>
      <c r="Y338" s="11">
        <f>IF(C338="","",IF(A338="","Falta periodo",IF(COUNTIF(Listas!$A$2:$A$134,A338)=0,"Periodo no válido",IF(X338="","Falta valor",IF(I338="","Falta fuente: no se mostrará",IF(AND(J338="",K338=""),"Sin evidencia",IF(N338&lt;&gt;"Validado","Sin validar","OK")))))))</f>
        <v/>
      </c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9" t="n"/>
      <c r="N339" s="8" t="n"/>
      <c r="O339" s="8" t="n"/>
      <c r="P339" s="9" t="n"/>
      <c r="Q339" s="8" t="n"/>
      <c r="R339" s="8" t="n"/>
      <c r="S339" s="8" t="n"/>
      <c r="T339" s="8" t="n"/>
      <c r="U339" s="8" t="n"/>
      <c r="V339" s="11">
        <f>IF(C339="","",IFERROR(INDEX(Catalogo!$C$5:$C$129,MATCH(C339,Catalogo!$A$5:$A$129,0)),"Código no existe"))</f>
        <v/>
      </c>
      <c r="W339" s="11">
        <f>IF(C339="","",IFERROR(INDEX(Catalogo!$G$5:$G$129,MATCH(C339,Catalogo!$A$5:$A$129,0)),""))</f>
        <v/>
      </c>
      <c r="X339" s="12">
        <f>IF(C339="","",IF(ISNUMBER(F339),F339,IF(AND(ISNUMBER(D339),ISNUMBER(E339),E339&gt;0),D339/E339*IF(W339="%",100,1),IF(ISNUMBER(D339),D339,""))))</f>
        <v/>
      </c>
      <c r="Y339" s="11">
        <f>IF(C339="","",IF(A339="","Falta periodo",IF(COUNTIF(Listas!$A$2:$A$134,A339)=0,"Periodo no válido",IF(X339="","Falta valor",IF(I339="","Falta fuente: no se mostrará",IF(AND(J339="",K339=""),"Sin evidencia",IF(N339&lt;&gt;"Validado","Sin validar","OK")))))))</f>
        <v/>
      </c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9" t="n"/>
      <c r="N340" s="8" t="n"/>
      <c r="O340" s="8" t="n"/>
      <c r="P340" s="9" t="n"/>
      <c r="Q340" s="8" t="n"/>
      <c r="R340" s="8" t="n"/>
      <c r="S340" s="8" t="n"/>
      <c r="T340" s="8" t="n"/>
      <c r="U340" s="8" t="n"/>
      <c r="V340" s="11">
        <f>IF(C340="","",IFERROR(INDEX(Catalogo!$C$5:$C$129,MATCH(C340,Catalogo!$A$5:$A$129,0)),"Código no existe"))</f>
        <v/>
      </c>
      <c r="W340" s="11">
        <f>IF(C340="","",IFERROR(INDEX(Catalogo!$G$5:$G$129,MATCH(C340,Catalogo!$A$5:$A$129,0)),""))</f>
        <v/>
      </c>
      <c r="X340" s="12">
        <f>IF(C340="","",IF(ISNUMBER(F340),F340,IF(AND(ISNUMBER(D340),ISNUMBER(E340),E340&gt;0),D340/E340*IF(W340="%",100,1),IF(ISNUMBER(D340),D340,""))))</f>
        <v/>
      </c>
      <c r="Y340" s="11">
        <f>IF(C340="","",IF(A340="","Falta periodo",IF(COUNTIF(Listas!$A$2:$A$134,A340)=0,"Periodo no válido",IF(X340="","Falta valor",IF(I340="","Falta fuente: no se mostrará",IF(AND(J340="",K340=""),"Sin evidencia",IF(N340&lt;&gt;"Validado","Sin validar","OK")))))))</f>
        <v/>
      </c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9" t="n"/>
      <c r="N341" s="8" t="n"/>
      <c r="O341" s="8" t="n"/>
      <c r="P341" s="9" t="n"/>
      <c r="Q341" s="8" t="n"/>
      <c r="R341" s="8" t="n"/>
      <c r="S341" s="8" t="n"/>
      <c r="T341" s="8" t="n"/>
      <c r="U341" s="8" t="n"/>
      <c r="V341" s="11">
        <f>IF(C341="","",IFERROR(INDEX(Catalogo!$C$5:$C$129,MATCH(C341,Catalogo!$A$5:$A$129,0)),"Código no existe"))</f>
        <v/>
      </c>
      <c r="W341" s="11">
        <f>IF(C341="","",IFERROR(INDEX(Catalogo!$G$5:$G$129,MATCH(C341,Catalogo!$A$5:$A$129,0)),""))</f>
        <v/>
      </c>
      <c r="X341" s="12">
        <f>IF(C341="","",IF(ISNUMBER(F341),F341,IF(AND(ISNUMBER(D341),ISNUMBER(E341),E341&gt;0),D341/E341*IF(W341="%",100,1),IF(ISNUMBER(D341),D341,""))))</f>
        <v/>
      </c>
      <c r="Y341" s="11">
        <f>IF(C341="","",IF(A341="","Falta periodo",IF(COUNTIF(Listas!$A$2:$A$134,A341)=0,"Periodo no válido",IF(X341="","Falta valor",IF(I341="","Falta fuente: no se mostrará",IF(AND(J341="",K341=""),"Sin evidencia",IF(N341&lt;&gt;"Validado","Sin validar","OK")))))))</f>
        <v/>
      </c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9" t="n"/>
      <c r="N342" s="8" t="n"/>
      <c r="O342" s="8" t="n"/>
      <c r="P342" s="9" t="n"/>
      <c r="Q342" s="8" t="n"/>
      <c r="R342" s="8" t="n"/>
      <c r="S342" s="8" t="n"/>
      <c r="T342" s="8" t="n"/>
      <c r="U342" s="8" t="n"/>
      <c r="V342" s="11">
        <f>IF(C342="","",IFERROR(INDEX(Catalogo!$C$5:$C$129,MATCH(C342,Catalogo!$A$5:$A$129,0)),"Código no existe"))</f>
        <v/>
      </c>
      <c r="W342" s="11">
        <f>IF(C342="","",IFERROR(INDEX(Catalogo!$G$5:$G$129,MATCH(C342,Catalogo!$A$5:$A$129,0)),""))</f>
        <v/>
      </c>
      <c r="X342" s="12">
        <f>IF(C342="","",IF(ISNUMBER(F342),F342,IF(AND(ISNUMBER(D342),ISNUMBER(E342),E342&gt;0),D342/E342*IF(W342="%",100,1),IF(ISNUMBER(D342),D342,""))))</f>
        <v/>
      </c>
      <c r="Y342" s="11">
        <f>IF(C342="","",IF(A342="","Falta periodo",IF(COUNTIF(Listas!$A$2:$A$134,A342)=0,"Periodo no válido",IF(X342="","Falta valor",IF(I342="","Falta fuente: no se mostrará",IF(AND(J342="",K342=""),"Sin evidencia",IF(N342&lt;&gt;"Validado","Sin validar","OK")))))))</f>
        <v/>
      </c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9" t="n"/>
      <c r="N343" s="8" t="n"/>
      <c r="O343" s="8" t="n"/>
      <c r="P343" s="9" t="n"/>
      <c r="Q343" s="8" t="n"/>
      <c r="R343" s="8" t="n"/>
      <c r="S343" s="8" t="n"/>
      <c r="T343" s="8" t="n"/>
      <c r="U343" s="8" t="n"/>
      <c r="V343" s="11">
        <f>IF(C343="","",IFERROR(INDEX(Catalogo!$C$5:$C$129,MATCH(C343,Catalogo!$A$5:$A$129,0)),"Código no existe"))</f>
        <v/>
      </c>
      <c r="W343" s="11">
        <f>IF(C343="","",IFERROR(INDEX(Catalogo!$G$5:$G$129,MATCH(C343,Catalogo!$A$5:$A$129,0)),""))</f>
        <v/>
      </c>
      <c r="X343" s="12">
        <f>IF(C343="","",IF(ISNUMBER(F343),F343,IF(AND(ISNUMBER(D343),ISNUMBER(E343),E343&gt;0),D343/E343*IF(W343="%",100,1),IF(ISNUMBER(D343),D343,""))))</f>
        <v/>
      </c>
      <c r="Y343" s="11">
        <f>IF(C343="","",IF(A343="","Falta periodo",IF(COUNTIF(Listas!$A$2:$A$134,A343)=0,"Periodo no válido",IF(X343="","Falta valor",IF(I343="","Falta fuente: no se mostrará",IF(AND(J343="",K343=""),"Sin evidencia",IF(N343&lt;&gt;"Validado","Sin validar","OK")))))))</f>
        <v/>
      </c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9" t="n"/>
      <c r="N344" s="8" t="n"/>
      <c r="O344" s="8" t="n"/>
      <c r="P344" s="9" t="n"/>
      <c r="Q344" s="8" t="n"/>
      <c r="R344" s="8" t="n"/>
      <c r="S344" s="8" t="n"/>
      <c r="T344" s="8" t="n"/>
      <c r="U344" s="8" t="n"/>
      <c r="V344" s="11">
        <f>IF(C344="","",IFERROR(INDEX(Catalogo!$C$5:$C$129,MATCH(C344,Catalogo!$A$5:$A$129,0)),"Código no existe"))</f>
        <v/>
      </c>
      <c r="W344" s="11">
        <f>IF(C344="","",IFERROR(INDEX(Catalogo!$G$5:$G$129,MATCH(C344,Catalogo!$A$5:$A$129,0)),""))</f>
        <v/>
      </c>
      <c r="X344" s="12">
        <f>IF(C344="","",IF(ISNUMBER(F344),F344,IF(AND(ISNUMBER(D344),ISNUMBER(E344),E344&gt;0),D344/E344*IF(W344="%",100,1),IF(ISNUMBER(D344),D344,""))))</f>
        <v/>
      </c>
      <c r="Y344" s="11">
        <f>IF(C344="","",IF(A344="","Falta periodo",IF(COUNTIF(Listas!$A$2:$A$134,A344)=0,"Periodo no válido",IF(X344="","Falta valor",IF(I344="","Falta fuente: no se mostrará",IF(AND(J344="",K344=""),"Sin evidencia",IF(N344&lt;&gt;"Validado","Sin validar","OK")))))))</f>
        <v/>
      </c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9" t="n"/>
      <c r="N345" s="8" t="n"/>
      <c r="O345" s="8" t="n"/>
      <c r="P345" s="9" t="n"/>
      <c r="Q345" s="8" t="n"/>
      <c r="R345" s="8" t="n"/>
      <c r="S345" s="8" t="n"/>
      <c r="T345" s="8" t="n"/>
      <c r="U345" s="8" t="n"/>
      <c r="V345" s="11">
        <f>IF(C345="","",IFERROR(INDEX(Catalogo!$C$5:$C$129,MATCH(C345,Catalogo!$A$5:$A$129,0)),"Código no existe"))</f>
        <v/>
      </c>
      <c r="W345" s="11">
        <f>IF(C345="","",IFERROR(INDEX(Catalogo!$G$5:$G$129,MATCH(C345,Catalogo!$A$5:$A$129,0)),""))</f>
        <v/>
      </c>
      <c r="X345" s="12">
        <f>IF(C345="","",IF(ISNUMBER(F345),F345,IF(AND(ISNUMBER(D345),ISNUMBER(E345),E345&gt;0),D345/E345*IF(W345="%",100,1),IF(ISNUMBER(D345),D345,""))))</f>
        <v/>
      </c>
      <c r="Y345" s="11">
        <f>IF(C345="","",IF(A345="","Falta periodo",IF(COUNTIF(Listas!$A$2:$A$134,A345)=0,"Periodo no válido",IF(X345="","Falta valor",IF(I345="","Falta fuente: no se mostrará",IF(AND(J345="",K345=""),"Sin evidencia",IF(N345&lt;&gt;"Validado","Sin validar","OK")))))))</f>
        <v/>
      </c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9" t="n"/>
      <c r="N346" s="8" t="n"/>
      <c r="O346" s="8" t="n"/>
      <c r="P346" s="9" t="n"/>
      <c r="Q346" s="8" t="n"/>
      <c r="R346" s="8" t="n"/>
      <c r="S346" s="8" t="n"/>
      <c r="T346" s="8" t="n"/>
      <c r="U346" s="8" t="n"/>
      <c r="V346" s="11">
        <f>IF(C346="","",IFERROR(INDEX(Catalogo!$C$5:$C$129,MATCH(C346,Catalogo!$A$5:$A$129,0)),"Código no existe"))</f>
        <v/>
      </c>
      <c r="W346" s="11">
        <f>IF(C346="","",IFERROR(INDEX(Catalogo!$G$5:$G$129,MATCH(C346,Catalogo!$A$5:$A$129,0)),""))</f>
        <v/>
      </c>
      <c r="X346" s="12">
        <f>IF(C346="","",IF(ISNUMBER(F346),F346,IF(AND(ISNUMBER(D346),ISNUMBER(E346),E346&gt;0),D346/E346*IF(W346="%",100,1),IF(ISNUMBER(D346),D346,""))))</f>
        <v/>
      </c>
      <c r="Y346" s="11">
        <f>IF(C346="","",IF(A346="","Falta periodo",IF(COUNTIF(Listas!$A$2:$A$134,A346)=0,"Periodo no válido",IF(X346="","Falta valor",IF(I346="","Falta fuente: no se mostrará",IF(AND(J346="",K346=""),"Sin evidencia",IF(N346&lt;&gt;"Validado","Sin validar","OK")))))))</f>
        <v/>
      </c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9" t="n"/>
      <c r="N347" s="8" t="n"/>
      <c r="O347" s="8" t="n"/>
      <c r="P347" s="9" t="n"/>
      <c r="Q347" s="8" t="n"/>
      <c r="R347" s="8" t="n"/>
      <c r="S347" s="8" t="n"/>
      <c r="T347" s="8" t="n"/>
      <c r="U347" s="8" t="n"/>
      <c r="V347" s="11">
        <f>IF(C347="","",IFERROR(INDEX(Catalogo!$C$5:$C$129,MATCH(C347,Catalogo!$A$5:$A$129,0)),"Código no existe"))</f>
        <v/>
      </c>
      <c r="W347" s="11">
        <f>IF(C347="","",IFERROR(INDEX(Catalogo!$G$5:$G$129,MATCH(C347,Catalogo!$A$5:$A$129,0)),""))</f>
        <v/>
      </c>
      <c r="X347" s="12">
        <f>IF(C347="","",IF(ISNUMBER(F347),F347,IF(AND(ISNUMBER(D347),ISNUMBER(E347),E347&gt;0),D347/E347*IF(W347="%",100,1),IF(ISNUMBER(D347),D347,""))))</f>
        <v/>
      </c>
      <c r="Y347" s="11">
        <f>IF(C347="","",IF(A347="","Falta periodo",IF(COUNTIF(Listas!$A$2:$A$134,A347)=0,"Periodo no válido",IF(X347="","Falta valor",IF(I347="","Falta fuente: no se mostrará",IF(AND(J347="",K347=""),"Sin evidencia",IF(N347&lt;&gt;"Validado","Sin validar","OK")))))))</f>
        <v/>
      </c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9" t="n"/>
      <c r="N348" s="8" t="n"/>
      <c r="O348" s="8" t="n"/>
      <c r="P348" s="9" t="n"/>
      <c r="Q348" s="8" t="n"/>
      <c r="R348" s="8" t="n"/>
      <c r="S348" s="8" t="n"/>
      <c r="T348" s="8" t="n"/>
      <c r="U348" s="8" t="n"/>
      <c r="V348" s="11">
        <f>IF(C348="","",IFERROR(INDEX(Catalogo!$C$5:$C$129,MATCH(C348,Catalogo!$A$5:$A$129,0)),"Código no existe"))</f>
        <v/>
      </c>
      <c r="W348" s="11">
        <f>IF(C348="","",IFERROR(INDEX(Catalogo!$G$5:$G$129,MATCH(C348,Catalogo!$A$5:$A$129,0)),""))</f>
        <v/>
      </c>
      <c r="X348" s="12">
        <f>IF(C348="","",IF(ISNUMBER(F348),F348,IF(AND(ISNUMBER(D348),ISNUMBER(E348),E348&gt;0),D348/E348*IF(W348="%",100,1),IF(ISNUMBER(D348),D348,""))))</f>
        <v/>
      </c>
      <c r="Y348" s="11">
        <f>IF(C348="","",IF(A348="","Falta periodo",IF(COUNTIF(Listas!$A$2:$A$134,A348)=0,"Periodo no válido",IF(X348="","Falta valor",IF(I348="","Falta fuente: no se mostrará",IF(AND(J348="",K348=""),"Sin evidencia",IF(N348&lt;&gt;"Validado","Sin validar","OK")))))))</f>
        <v/>
      </c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9" t="n"/>
      <c r="N349" s="8" t="n"/>
      <c r="O349" s="8" t="n"/>
      <c r="P349" s="9" t="n"/>
      <c r="Q349" s="8" t="n"/>
      <c r="R349" s="8" t="n"/>
      <c r="S349" s="8" t="n"/>
      <c r="T349" s="8" t="n"/>
      <c r="U349" s="8" t="n"/>
      <c r="V349" s="11">
        <f>IF(C349="","",IFERROR(INDEX(Catalogo!$C$5:$C$129,MATCH(C349,Catalogo!$A$5:$A$129,0)),"Código no existe"))</f>
        <v/>
      </c>
      <c r="W349" s="11">
        <f>IF(C349="","",IFERROR(INDEX(Catalogo!$G$5:$G$129,MATCH(C349,Catalogo!$A$5:$A$129,0)),""))</f>
        <v/>
      </c>
      <c r="X349" s="12">
        <f>IF(C349="","",IF(ISNUMBER(F349),F349,IF(AND(ISNUMBER(D349),ISNUMBER(E349),E349&gt;0),D349/E349*IF(W349="%",100,1),IF(ISNUMBER(D349),D349,""))))</f>
        <v/>
      </c>
      <c r="Y349" s="11">
        <f>IF(C349="","",IF(A349="","Falta periodo",IF(COUNTIF(Listas!$A$2:$A$134,A349)=0,"Periodo no válido",IF(X349="","Falta valor",IF(I349="","Falta fuente: no se mostrará",IF(AND(J349="",K349=""),"Sin evidencia",IF(N349&lt;&gt;"Validado","Sin validar","OK")))))))</f>
        <v/>
      </c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9" t="n"/>
      <c r="N350" s="8" t="n"/>
      <c r="O350" s="8" t="n"/>
      <c r="P350" s="9" t="n"/>
      <c r="Q350" s="8" t="n"/>
      <c r="R350" s="8" t="n"/>
      <c r="S350" s="8" t="n"/>
      <c r="T350" s="8" t="n"/>
      <c r="U350" s="8" t="n"/>
      <c r="V350" s="11">
        <f>IF(C350="","",IFERROR(INDEX(Catalogo!$C$5:$C$129,MATCH(C350,Catalogo!$A$5:$A$129,0)),"Código no existe"))</f>
        <v/>
      </c>
      <c r="W350" s="11">
        <f>IF(C350="","",IFERROR(INDEX(Catalogo!$G$5:$G$129,MATCH(C350,Catalogo!$A$5:$A$129,0)),""))</f>
        <v/>
      </c>
      <c r="X350" s="12">
        <f>IF(C350="","",IF(ISNUMBER(F350),F350,IF(AND(ISNUMBER(D350),ISNUMBER(E350),E350&gt;0),D350/E350*IF(W350="%",100,1),IF(ISNUMBER(D350),D350,""))))</f>
        <v/>
      </c>
      <c r="Y350" s="11">
        <f>IF(C350="","",IF(A350="","Falta periodo",IF(COUNTIF(Listas!$A$2:$A$134,A350)=0,"Periodo no válido",IF(X350="","Falta valor",IF(I350="","Falta fuente: no se mostrará",IF(AND(J350="",K350=""),"Sin evidencia",IF(N350&lt;&gt;"Validado","Sin validar","OK")))))))</f>
        <v/>
      </c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9" t="n"/>
      <c r="N351" s="8" t="n"/>
      <c r="O351" s="8" t="n"/>
      <c r="P351" s="9" t="n"/>
      <c r="Q351" s="8" t="n"/>
      <c r="R351" s="8" t="n"/>
      <c r="S351" s="8" t="n"/>
      <c r="T351" s="8" t="n"/>
      <c r="U351" s="8" t="n"/>
      <c r="V351" s="11">
        <f>IF(C351="","",IFERROR(INDEX(Catalogo!$C$5:$C$129,MATCH(C351,Catalogo!$A$5:$A$129,0)),"Código no existe"))</f>
        <v/>
      </c>
      <c r="W351" s="11">
        <f>IF(C351="","",IFERROR(INDEX(Catalogo!$G$5:$G$129,MATCH(C351,Catalogo!$A$5:$A$129,0)),""))</f>
        <v/>
      </c>
      <c r="X351" s="12">
        <f>IF(C351="","",IF(ISNUMBER(F351),F351,IF(AND(ISNUMBER(D351),ISNUMBER(E351),E351&gt;0),D351/E351*IF(W351="%",100,1),IF(ISNUMBER(D351),D351,""))))</f>
        <v/>
      </c>
      <c r="Y351" s="11">
        <f>IF(C351="","",IF(A351="","Falta periodo",IF(COUNTIF(Listas!$A$2:$A$134,A351)=0,"Periodo no válido",IF(X351="","Falta valor",IF(I351="","Falta fuente: no se mostrará",IF(AND(J351="",K351=""),"Sin evidencia",IF(N351&lt;&gt;"Validado","Sin validar","OK")))))))</f>
        <v/>
      </c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9" t="n"/>
      <c r="N352" s="8" t="n"/>
      <c r="O352" s="8" t="n"/>
      <c r="P352" s="9" t="n"/>
      <c r="Q352" s="8" t="n"/>
      <c r="R352" s="8" t="n"/>
      <c r="S352" s="8" t="n"/>
      <c r="T352" s="8" t="n"/>
      <c r="U352" s="8" t="n"/>
      <c r="V352" s="11">
        <f>IF(C352="","",IFERROR(INDEX(Catalogo!$C$5:$C$129,MATCH(C352,Catalogo!$A$5:$A$129,0)),"Código no existe"))</f>
        <v/>
      </c>
      <c r="W352" s="11">
        <f>IF(C352="","",IFERROR(INDEX(Catalogo!$G$5:$G$129,MATCH(C352,Catalogo!$A$5:$A$129,0)),""))</f>
        <v/>
      </c>
      <c r="X352" s="12">
        <f>IF(C352="","",IF(ISNUMBER(F352),F352,IF(AND(ISNUMBER(D352),ISNUMBER(E352),E352&gt;0),D352/E352*IF(W352="%",100,1),IF(ISNUMBER(D352),D352,""))))</f>
        <v/>
      </c>
      <c r="Y352" s="11">
        <f>IF(C352="","",IF(A352="","Falta periodo",IF(COUNTIF(Listas!$A$2:$A$134,A352)=0,"Periodo no válido",IF(X352="","Falta valor",IF(I352="","Falta fuente: no se mostrará",IF(AND(J352="",K352=""),"Sin evidencia",IF(N352&lt;&gt;"Validado","Sin validar","OK")))))))</f>
        <v/>
      </c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9" t="n"/>
      <c r="N353" s="8" t="n"/>
      <c r="O353" s="8" t="n"/>
      <c r="P353" s="9" t="n"/>
      <c r="Q353" s="8" t="n"/>
      <c r="R353" s="8" t="n"/>
      <c r="S353" s="8" t="n"/>
      <c r="T353" s="8" t="n"/>
      <c r="U353" s="8" t="n"/>
      <c r="V353" s="11">
        <f>IF(C353="","",IFERROR(INDEX(Catalogo!$C$5:$C$129,MATCH(C353,Catalogo!$A$5:$A$129,0)),"Código no existe"))</f>
        <v/>
      </c>
      <c r="W353" s="11">
        <f>IF(C353="","",IFERROR(INDEX(Catalogo!$G$5:$G$129,MATCH(C353,Catalogo!$A$5:$A$129,0)),""))</f>
        <v/>
      </c>
      <c r="X353" s="12">
        <f>IF(C353="","",IF(ISNUMBER(F353),F353,IF(AND(ISNUMBER(D353),ISNUMBER(E353),E353&gt;0),D353/E353*IF(W353="%",100,1),IF(ISNUMBER(D353),D353,""))))</f>
        <v/>
      </c>
      <c r="Y353" s="11">
        <f>IF(C353="","",IF(A353="","Falta periodo",IF(COUNTIF(Listas!$A$2:$A$134,A353)=0,"Periodo no válido",IF(X353="","Falta valor",IF(I353="","Falta fuente: no se mostrará",IF(AND(J353="",K353=""),"Sin evidencia",IF(N353&lt;&gt;"Validado","Sin validar","OK")))))))</f>
        <v/>
      </c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9" t="n"/>
      <c r="N354" s="8" t="n"/>
      <c r="O354" s="8" t="n"/>
      <c r="P354" s="9" t="n"/>
      <c r="Q354" s="8" t="n"/>
      <c r="R354" s="8" t="n"/>
      <c r="S354" s="8" t="n"/>
      <c r="T354" s="8" t="n"/>
      <c r="U354" s="8" t="n"/>
      <c r="V354" s="11">
        <f>IF(C354="","",IFERROR(INDEX(Catalogo!$C$5:$C$129,MATCH(C354,Catalogo!$A$5:$A$129,0)),"Código no existe"))</f>
        <v/>
      </c>
      <c r="W354" s="11">
        <f>IF(C354="","",IFERROR(INDEX(Catalogo!$G$5:$G$129,MATCH(C354,Catalogo!$A$5:$A$129,0)),""))</f>
        <v/>
      </c>
      <c r="X354" s="12">
        <f>IF(C354="","",IF(ISNUMBER(F354),F354,IF(AND(ISNUMBER(D354),ISNUMBER(E354),E354&gt;0),D354/E354*IF(W354="%",100,1),IF(ISNUMBER(D354),D354,""))))</f>
        <v/>
      </c>
      <c r="Y354" s="11">
        <f>IF(C354="","",IF(A354="","Falta periodo",IF(COUNTIF(Listas!$A$2:$A$134,A354)=0,"Periodo no válido",IF(X354="","Falta valor",IF(I354="","Falta fuente: no se mostrará",IF(AND(J354="",K354=""),"Sin evidencia",IF(N354&lt;&gt;"Validado","Sin validar","OK")))))))</f>
        <v/>
      </c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9" t="n"/>
      <c r="N355" s="8" t="n"/>
      <c r="O355" s="8" t="n"/>
      <c r="P355" s="9" t="n"/>
      <c r="Q355" s="8" t="n"/>
      <c r="R355" s="8" t="n"/>
      <c r="S355" s="8" t="n"/>
      <c r="T355" s="8" t="n"/>
      <c r="U355" s="8" t="n"/>
      <c r="V355" s="11">
        <f>IF(C355="","",IFERROR(INDEX(Catalogo!$C$5:$C$129,MATCH(C355,Catalogo!$A$5:$A$129,0)),"Código no existe"))</f>
        <v/>
      </c>
      <c r="W355" s="11">
        <f>IF(C355="","",IFERROR(INDEX(Catalogo!$G$5:$G$129,MATCH(C355,Catalogo!$A$5:$A$129,0)),""))</f>
        <v/>
      </c>
      <c r="X355" s="12">
        <f>IF(C355="","",IF(ISNUMBER(F355),F355,IF(AND(ISNUMBER(D355),ISNUMBER(E355),E355&gt;0),D355/E355*IF(W355="%",100,1),IF(ISNUMBER(D355),D355,""))))</f>
        <v/>
      </c>
      <c r="Y355" s="11">
        <f>IF(C355="","",IF(A355="","Falta periodo",IF(COUNTIF(Listas!$A$2:$A$134,A355)=0,"Periodo no válido",IF(X355="","Falta valor",IF(I355="","Falta fuente: no se mostrará",IF(AND(J355="",K355=""),"Sin evidencia",IF(N355&lt;&gt;"Validado","Sin validar","OK")))))))</f>
        <v/>
      </c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9" t="n"/>
      <c r="N356" s="8" t="n"/>
      <c r="O356" s="8" t="n"/>
      <c r="P356" s="9" t="n"/>
      <c r="Q356" s="8" t="n"/>
      <c r="R356" s="8" t="n"/>
      <c r="S356" s="8" t="n"/>
      <c r="T356" s="8" t="n"/>
      <c r="U356" s="8" t="n"/>
      <c r="V356" s="11">
        <f>IF(C356="","",IFERROR(INDEX(Catalogo!$C$5:$C$129,MATCH(C356,Catalogo!$A$5:$A$129,0)),"Código no existe"))</f>
        <v/>
      </c>
      <c r="W356" s="11">
        <f>IF(C356="","",IFERROR(INDEX(Catalogo!$G$5:$G$129,MATCH(C356,Catalogo!$A$5:$A$129,0)),""))</f>
        <v/>
      </c>
      <c r="X356" s="12">
        <f>IF(C356="","",IF(ISNUMBER(F356),F356,IF(AND(ISNUMBER(D356),ISNUMBER(E356),E356&gt;0),D356/E356*IF(W356="%",100,1),IF(ISNUMBER(D356),D356,""))))</f>
        <v/>
      </c>
      <c r="Y356" s="11">
        <f>IF(C356="","",IF(A356="","Falta periodo",IF(COUNTIF(Listas!$A$2:$A$134,A356)=0,"Periodo no válido",IF(X356="","Falta valor",IF(I356="","Falta fuente: no se mostrará",IF(AND(J356="",K356=""),"Sin evidencia",IF(N356&lt;&gt;"Validado","Sin validar","OK")))))))</f>
        <v/>
      </c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9" t="n"/>
      <c r="N357" s="8" t="n"/>
      <c r="O357" s="8" t="n"/>
      <c r="P357" s="9" t="n"/>
      <c r="Q357" s="8" t="n"/>
      <c r="R357" s="8" t="n"/>
      <c r="S357" s="8" t="n"/>
      <c r="T357" s="8" t="n"/>
      <c r="U357" s="8" t="n"/>
      <c r="V357" s="11">
        <f>IF(C357="","",IFERROR(INDEX(Catalogo!$C$5:$C$129,MATCH(C357,Catalogo!$A$5:$A$129,0)),"Código no existe"))</f>
        <v/>
      </c>
      <c r="W357" s="11">
        <f>IF(C357="","",IFERROR(INDEX(Catalogo!$G$5:$G$129,MATCH(C357,Catalogo!$A$5:$A$129,0)),""))</f>
        <v/>
      </c>
      <c r="X357" s="12">
        <f>IF(C357="","",IF(ISNUMBER(F357),F357,IF(AND(ISNUMBER(D357),ISNUMBER(E357),E357&gt;0),D357/E357*IF(W357="%",100,1),IF(ISNUMBER(D357),D357,""))))</f>
        <v/>
      </c>
      <c r="Y357" s="11">
        <f>IF(C357="","",IF(A357="","Falta periodo",IF(COUNTIF(Listas!$A$2:$A$134,A357)=0,"Periodo no válido",IF(X357="","Falta valor",IF(I357="","Falta fuente: no se mostrará",IF(AND(J357="",K357=""),"Sin evidencia",IF(N357&lt;&gt;"Validado","Sin validar","OK")))))))</f>
        <v/>
      </c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9" t="n"/>
      <c r="N358" s="8" t="n"/>
      <c r="O358" s="8" t="n"/>
      <c r="P358" s="9" t="n"/>
      <c r="Q358" s="8" t="n"/>
      <c r="R358" s="8" t="n"/>
      <c r="S358" s="8" t="n"/>
      <c r="T358" s="8" t="n"/>
      <c r="U358" s="8" t="n"/>
      <c r="V358" s="11">
        <f>IF(C358="","",IFERROR(INDEX(Catalogo!$C$5:$C$129,MATCH(C358,Catalogo!$A$5:$A$129,0)),"Código no existe"))</f>
        <v/>
      </c>
      <c r="W358" s="11">
        <f>IF(C358="","",IFERROR(INDEX(Catalogo!$G$5:$G$129,MATCH(C358,Catalogo!$A$5:$A$129,0)),""))</f>
        <v/>
      </c>
      <c r="X358" s="12">
        <f>IF(C358="","",IF(ISNUMBER(F358),F358,IF(AND(ISNUMBER(D358),ISNUMBER(E358),E358&gt;0),D358/E358*IF(W358="%",100,1),IF(ISNUMBER(D358),D358,""))))</f>
        <v/>
      </c>
      <c r="Y358" s="11">
        <f>IF(C358="","",IF(A358="","Falta periodo",IF(COUNTIF(Listas!$A$2:$A$134,A358)=0,"Periodo no válido",IF(X358="","Falta valor",IF(I358="","Falta fuente: no se mostrará",IF(AND(J358="",K358=""),"Sin evidencia",IF(N358&lt;&gt;"Validado","Sin validar","OK")))))))</f>
        <v/>
      </c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9" t="n"/>
      <c r="N359" s="8" t="n"/>
      <c r="O359" s="8" t="n"/>
      <c r="P359" s="9" t="n"/>
      <c r="Q359" s="8" t="n"/>
      <c r="R359" s="8" t="n"/>
      <c r="S359" s="8" t="n"/>
      <c r="T359" s="8" t="n"/>
      <c r="U359" s="8" t="n"/>
      <c r="V359" s="11">
        <f>IF(C359="","",IFERROR(INDEX(Catalogo!$C$5:$C$129,MATCH(C359,Catalogo!$A$5:$A$129,0)),"Código no existe"))</f>
        <v/>
      </c>
      <c r="W359" s="11">
        <f>IF(C359="","",IFERROR(INDEX(Catalogo!$G$5:$G$129,MATCH(C359,Catalogo!$A$5:$A$129,0)),""))</f>
        <v/>
      </c>
      <c r="X359" s="12">
        <f>IF(C359="","",IF(ISNUMBER(F359),F359,IF(AND(ISNUMBER(D359),ISNUMBER(E359),E359&gt;0),D359/E359*IF(W359="%",100,1),IF(ISNUMBER(D359),D359,""))))</f>
        <v/>
      </c>
      <c r="Y359" s="11">
        <f>IF(C359="","",IF(A359="","Falta periodo",IF(COUNTIF(Listas!$A$2:$A$134,A359)=0,"Periodo no válido",IF(X359="","Falta valor",IF(I359="","Falta fuente: no se mostrará",IF(AND(J359="",K359=""),"Sin evidencia",IF(N359&lt;&gt;"Validado","Sin validar","OK")))))))</f>
        <v/>
      </c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9" t="n"/>
      <c r="N360" s="8" t="n"/>
      <c r="O360" s="8" t="n"/>
      <c r="P360" s="9" t="n"/>
      <c r="Q360" s="8" t="n"/>
      <c r="R360" s="8" t="n"/>
      <c r="S360" s="8" t="n"/>
      <c r="T360" s="8" t="n"/>
      <c r="U360" s="8" t="n"/>
      <c r="V360" s="11">
        <f>IF(C360="","",IFERROR(INDEX(Catalogo!$C$5:$C$129,MATCH(C360,Catalogo!$A$5:$A$129,0)),"Código no existe"))</f>
        <v/>
      </c>
      <c r="W360" s="11">
        <f>IF(C360="","",IFERROR(INDEX(Catalogo!$G$5:$G$129,MATCH(C360,Catalogo!$A$5:$A$129,0)),""))</f>
        <v/>
      </c>
      <c r="X360" s="12">
        <f>IF(C360="","",IF(ISNUMBER(F360),F360,IF(AND(ISNUMBER(D360),ISNUMBER(E360),E360&gt;0),D360/E360*IF(W360="%",100,1),IF(ISNUMBER(D360),D360,""))))</f>
        <v/>
      </c>
      <c r="Y360" s="11">
        <f>IF(C360="","",IF(A360="","Falta periodo",IF(COUNTIF(Listas!$A$2:$A$134,A360)=0,"Periodo no válido",IF(X360="","Falta valor",IF(I360="","Falta fuente: no se mostrará",IF(AND(J360="",K360=""),"Sin evidencia",IF(N360&lt;&gt;"Validado","Sin validar","OK")))))))</f>
        <v/>
      </c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9" t="n"/>
      <c r="N361" s="8" t="n"/>
      <c r="O361" s="8" t="n"/>
      <c r="P361" s="9" t="n"/>
      <c r="Q361" s="8" t="n"/>
      <c r="R361" s="8" t="n"/>
      <c r="S361" s="8" t="n"/>
      <c r="T361" s="8" t="n"/>
      <c r="U361" s="8" t="n"/>
      <c r="V361" s="11">
        <f>IF(C361="","",IFERROR(INDEX(Catalogo!$C$5:$C$129,MATCH(C361,Catalogo!$A$5:$A$129,0)),"Código no existe"))</f>
        <v/>
      </c>
      <c r="W361" s="11">
        <f>IF(C361="","",IFERROR(INDEX(Catalogo!$G$5:$G$129,MATCH(C361,Catalogo!$A$5:$A$129,0)),""))</f>
        <v/>
      </c>
      <c r="X361" s="12">
        <f>IF(C361="","",IF(ISNUMBER(F361),F361,IF(AND(ISNUMBER(D361),ISNUMBER(E361),E361&gt;0),D361/E361*IF(W361="%",100,1),IF(ISNUMBER(D361),D361,""))))</f>
        <v/>
      </c>
      <c r="Y361" s="11">
        <f>IF(C361="","",IF(A361="","Falta periodo",IF(COUNTIF(Listas!$A$2:$A$134,A361)=0,"Periodo no válido",IF(X361="","Falta valor",IF(I361="","Falta fuente: no se mostrará",IF(AND(J361="",K361=""),"Sin evidencia",IF(N361&lt;&gt;"Validado","Sin validar","OK")))))))</f>
        <v/>
      </c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9" t="n"/>
      <c r="N362" s="8" t="n"/>
      <c r="O362" s="8" t="n"/>
      <c r="P362" s="9" t="n"/>
      <c r="Q362" s="8" t="n"/>
      <c r="R362" s="8" t="n"/>
      <c r="S362" s="8" t="n"/>
      <c r="T362" s="8" t="n"/>
      <c r="U362" s="8" t="n"/>
      <c r="V362" s="11">
        <f>IF(C362="","",IFERROR(INDEX(Catalogo!$C$5:$C$129,MATCH(C362,Catalogo!$A$5:$A$129,0)),"Código no existe"))</f>
        <v/>
      </c>
      <c r="W362" s="11">
        <f>IF(C362="","",IFERROR(INDEX(Catalogo!$G$5:$G$129,MATCH(C362,Catalogo!$A$5:$A$129,0)),""))</f>
        <v/>
      </c>
      <c r="X362" s="12">
        <f>IF(C362="","",IF(ISNUMBER(F362),F362,IF(AND(ISNUMBER(D362),ISNUMBER(E362),E362&gt;0),D362/E362*IF(W362="%",100,1),IF(ISNUMBER(D362),D362,""))))</f>
        <v/>
      </c>
      <c r="Y362" s="11">
        <f>IF(C362="","",IF(A362="","Falta periodo",IF(COUNTIF(Listas!$A$2:$A$134,A362)=0,"Periodo no válido",IF(X362="","Falta valor",IF(I362="","Falta fuente: no se mostrará",IF(AND(J362="",K362=""),"Sin evidencia",IF(N362&lt;&gt;"Validado","Sin validar","OK")))))))</f>
        <v/>
      </c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9" t="n"/>
      <c r="N363" s="8" t="n"/>
      <c r="O363" s="8" t="n"/>
      <c r="P363" s="9" t="n"/>
      <c r="Q363" s="8" t="n"/>
      <c r="R363" s="8" t="n"/>
      <c r="S363" s="8" t="n"/>
      <c r="T363" s="8" t="n"/>
      <c r="U363" s="8" t="n"/>
      <c r="V363" s="11">
        <f>IF(C363="","",IFERROR(INDEX(Catalogo!$C$5:$C$129,MATCH(C363,Catalogo!$A$5:$A$129,0)),"Código no existe"))</f>
        <v/>
      </c>
      <c r="W363" s="11">
        <f>IF(C363="","",IFERROR(INDEX(Catalogo!$G$5:$G$129,MATCH(C363,Catalogo!$A$5:$A$129,0)),""))</f>
        <v/>
      </c>
      <c r="X363" s="12">
        <f>IF(C363="","",IF(ISNUMBER(F363),F363,IF(AND(ISNUMBER(D363),ISNUMBER(E363),E363&gt;0),D363/E363*IF(W363="%",100,1),IF(ISNUMBER(D363),D363,""))))</f>
        <v/>
      </c>
      <c r="Y363" s="11">
        <f>IF(C363="","",IF(A363="","Falta periodo",IF(COUNTIF(Listas!$A$2:$A$134,A363)=0,"Periodo no válido",IF(X363="","Falta valor",IF(I363="","Falta fuente: no se mostrará",IF(AND(J363="",K363=""),"Sin evidencia",IF(N363&lt;&gt;"Validado","Sin validar","OK")))))))</f>
        <v/>
      </c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9" t="n"/>
      <c r="N364" s="8" t="n"/>
      <c r="O364" s="8" t="n"/>
      <c r="P364" s="9" t="n"/>
      <c r="Q364" s="8" t="n"/>
      <c r="R364" s="8" t="n"/>
      <c r="S364" s="8" t="n"/>
      <c r="T364" s="8" t="n"/>
      <c r="U364" s="8" t="n"/>
      <c r="V364" s="11">
        <f>IF(C364="","",IFERROR(INDEX(Catalogo!$C$5:$C$129,MATCH(C364,Catalogo!$A$5:$A$129,0)),"Código no existe"))</f>
        <v/>
      </c>
      <c r="W364" s="11">
        <f>IF(C364="","",IFERROR(INDEX(Catalogo!$G$5:$G$129,MATCH(C364,Catalogo!$A$5:$A$129,0)),""))</f>
        <v/>
      </c>
      <c r="X364" s="12">
        <f>IF(C364="","",IF(ISNUMBER(F364),F364,IF(AND(ISNUMBER(D364),ISNUMBER(E364),E364&gt;0),D364/E364*IF(W364="%",100,1),IF(ISNUMBER(D364),D364,""))))</f>
        <v/>
      </c>
      <c r="Y364" s="11">
        <f>IF(C364="","",IF(A364="","Falta periodo",IF(COUNTIF(Listas!$A$2:$A$134,A364)=0,"Periodo no válido",IF(X364="","Falta valor",IF(I364="","Falta fuente: no se mostrará",IF(AND(J364="",K364=""),"Sin evidencia",IF(N364&lt;&gt;"Validado","Sin validar","OK")))))))</f>
        <v/>
      </c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9" t="n"/>
      <c r="N365" s="8" t="n"/>
      <c r="O365" s="8" t="n"/>
      <c r="P365" s="9" t="n"/>
      <c r="Q365" s="8" t="n"/>
      <c r="R365" s="8" t="n"/>
      <c r="S365" s="8" t="n"/>
      <c r="T365" s="8" t="n"/>
      <c r="U365" s="8" t="n"/>
      <c r="V365" s="11">
        <f>IF(C365="","",IFERROR(INDEX(Catalogo!$C$5:$C$129,MATCH(C365,Catalogo!$A$5:$A$129,0)),"Código no existe"))</f>
        <v/>
      </c>
      <c r="W365" s="11">
        <f>IF(C365="","",IFERROR(INDEX(Catalogo!$G$5:$G$129,MATCH(C365,Catalogo!$A$5:$A$129,0)),""))</f>
        <v/>
      </c>
      <c r="X365" s="12">
        <f>IF(C365="","",IF(ISNUMBER(F365),F365,IF(AND(ISNUMBER(D365),ISNUMBER(E365),E365&gt;0),D365/E365*IF(W365="%",100,1),IF(ISNUMBER(D365),D365,""))))</f>
        <v/>
      </c>
      <c r="Y365" s="11">
        <f>IF(C365="","",IF(A365="","Falta periodo",IF(COUNTIF(Listas!$A$2:$A$134,A365)=0,"Periodo no válido",IF(X365="","Falta valor",IF(I365="","Falta fuente: no se mostrará",IF(AND(J365="",K365=""),"Sin evidencia",IF(N365&lt;&gt;"Validado","Sin validar","OK")))))))</f>
        <v/>
      </c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9" t="n"/>
      <c r="N366" s="8" t="n"/>
      <c r="O366" s="8" t="n"/>
      <c r="P366" s="9" t="n"/>
      <c r="Q366" s="8" t="n"/>
      <c r="R366" s="8" t="n"/>
      <c r="S366" s="8" t="n"/>
      <c r="T366" s="8" t="n"/>
      <c r="U366" s="8" t="n"/>
      <c r="V366" s="11">
        <f>IF(C366="","",IFERROR(INDEX(Catalogo!$C$5:$C$129,MATCH(C366,Catalogo!$A$5:$A$129,0)),"Código no existe"))</f>
        <v/>
      </c>
      <c r="W366" s="11">
        <f>IF(C366="","",IFERROR(INDEX(Catalogo!$G$5:$G$129,MATCH(C366,Catalogo!$A$5:$A$129,0)),""))</f>
        <v/>
      </c>
      <c r="X366" s="12">
        <f>IF(C366="","",IF(ISNUMBER(F366),F366,IF(AND(ISNUMBER(D366),ISNUMBER(E366),E366&gt;0),D366/E366*IF(W366="%",100,1),IF(ISNUMBER(D366),D366,""))))</f>
        <v/>
      </c>
      <c r="Y366" s="11">
        <f>IF(C366="","",IF(A366="","Falta periodo",IF(COUNTIF(Listas!$A$2:$A$134,A366)=0,"Periodo no válido",IF(X366="","Falta valor",IF(I366="","Falta fuente: no se mostrará",IF(AND(J366="",K366=""),"Sin evidencia",IF(N366&lt;&gt;"Validado","Sin validar","OK")))))))</f>
        <v/>
      </c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9" t="n"/>
      <c r="N367" s="8" t="n"/>
      <c r="O367" s="8" t="n"/>
      <c r="P367" s="9" t="n"/>
      <c r="Q367" s="8" t="n"/>
      <c r="R367" s="8" t="n"/>
      <c r="S367" s="8" t="n"/>
      <c r="T367" s="8" t="n"/>
      <c r="U367" s="8" t="n"/>
      <c r="V367" s="11">
        <f>IF(C367="","",IFERROR(INDEX(Catalogo!$C$5:$C$129,MATCH(C367,Catalogo!$A$5:$A$129,0)),"Código no existe"))</f>
        <v/>
      </c>
      <c r="W367" s="11">
        <f>IF(C367="","",IFERROR(INDEX(Catalogo!$G$5:$G$129,MATCH(C367,Catalogo!$A$5:$A$129,0)),""))</f>
        <v/>
      </c>
      <c r="X367" s="12">
        <f>IF(C367="","",IF(ISNUMBER(F367),F367,IF(AND(ISNUMBER(D367),ISNUMBER(E367),E367&gt;0),D367/E367*IF(W367="%",100,1),IF(ISNUMBER(D367),D367,""))))</f>
        <v/>
      </c>
      <c r="Y367" s="11">
        <f>IF(C367="","",IF(A367="","Falta periodo",IF(COUNTIF(Listas!$A$2:$A$134,A367)=0,"Periodo no válido",IF(X367="","Falta valor",IF(I367="","Falta fuente: no se mostrará",IF(AND(J367="",K367=""),"Sin evidencia",IF(N367&lt;&gt;"Validado","Sin validar","OK")))))))</f>
        <v/>
      </c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9" t="n"/>
      <c r="N368" s="8" t="n"/>
      <c r="O368" s="8" t="n"/>
      <c r="P368" s="9" t="n"/>
      <c r="Q368" s="8" t="n"/>
      <c r="R368" s="8" t="n"/>
      <c r="S368" s="8" t="n"/>
      <c r="T368" s="8" t="n"/>
      <c r="U368" s="8" t="n"/>
      <c r="V368" s="11">
        <f>IF(C368="","",IFERROR(INDEX(Catalogo!$C$5:$C$129,MATCH(C368,Catalogo!$A$5:$A$129,0)),"Código no existe"))</f>
        <v/>
      </c>
      <c r="W368" s="11">
        <f>IF(C368="","",IFERROR(INDEX(Catalogo!$G$5:$G$129,MATCH(C368,Catalogo!$A$5:$A$129,0)),""))</f>
        <v/>
      </c>
      <c r="X368" s="12">
        <f>IF(C368="","",IF(ISNUMBER(F368),F368,IF(AND(ISNUMBER(D368),ISNUMBER(E368),E368&gt;0),D368/E368*IF(W368="%",100,1),IF(ISNUMBER(D368),D368,""))))</f>
        <v/>
      </c>
      <c r="Y368" s="11">
        <f>IF(C368="","",IF(A368="","Falta periodo",IF(COUNTIF(Listas!$A$2:$A$134,A368)=0,"Periodo no válido",IF(X368="","Falta valor",IF(I368="","Falta fuente: no se mostrará",IF(AND(J368="",K368=""),"Sin evidencia",IF(N368&lt;&gt;"Validado","Sin validar","OK")))))))</f>
        <v/>
      </c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9" t="n"/>
      <c r="N369" s="8" t="n"/>
      <c r="O369" s="8" t="n"/>
      <c r="P369" s="9" t="n"/>
      <c r="Q369" s="8" t="n"/>
      <c r="R369" s="8" t="n"/>
      <c r="S369" s="8" t="n"/>
      <c r="T369" s="8" t="n"/>
      <c r="U369" s="8" t="n"/>
      <c r="V369" s="11">
        <f>IF(C369="","",IFERROR(INDEX(Catalogo!$C$5:$C$129,MATCH(C369,Catalogo!$A$5:$A$129,0)),"Código no existe"))</f>
        <v/>
      </c>
      <c r="W369" s="11">
        <f>IF(C369="","",IFERROR(INDEX(Catalogo!$G$5:$G$129,MATCH(C369,Catalogo!$A$5:$A$129,0)),""))</f>
        <v/>
      </c>
      <c r="X369" s="12">
        <f>IF(C369="","",IF(ISNUMBER(F369),F369,IF(AND(ISNUMBER(D369),ISNUMBER(E369),E369&gt;0),D369/E369*IF(W369="%",100,1),IF(ISNUMBER(D369),D369,""))))</f>
        <v/>
      </c>
      <c r="Y369" s="11">
        <f>IF(C369="","",IF(A369="","Falta periodo",IF(COUNTIF(Listas!$A$2:$A$134,A369)=0,"Periodo no válido",IF(X369="","Falta valor",IF(I369="","Falta fuente: no se mostrará",IF(AND(J369="",K369=""),"Sin evidencia",IF(N369&lt;&gt;"Validado","Sin validar","OK")))))))</f>
        <v/>
      </c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9" t="n"/>
      <c r="N370" s="8" t="n"/>
      <c r="O370" s="8" t="n"/>
      <c r="P370" s="9" t="n"/>
      <c r="Q370" s="8" t="n"/>
      <c r="R370" s="8" t="n"/>
      <c r="S370" s="8" t="n"/>
      <c r="T370" s="8" t="n"/>
      <c r="U370" s="8" t="n"/>
      <c r="V370" s="11">
        <f>IF(C370="","",IFERROR(INDEX(Catalogo!$C$5:$C$129,MATCH(C370,Catalogo!$A$5:$A$129,0)),"Código no existe"))</f>
        <v/>
      </c>
      <c r="W370" s="11">
        <f>IF(C370="","",IFERROR(INDEX(Catalogo!$G$5:$G$129,MATCH(C370,Catalogo!$A$5:$A$129,0)),""))</f>
        <v/>
      </c>
      <c r="X370" s="12">
        <f>IF(C370="","",IF(ISNUMBER(F370),F370,IF(AND(ISNUMBER(D370),ISNUMBER(E370),E370&gt;0),D370/E370*IF(W370="%",100,1),IF(ISNUMBER(D370),D370,""))))</f>
        <v/>
      </c>
      <c r="Y370" s="11">
        <f>IF(C370="","",IF(A370="","Falta periodo",IF(COUNTIF(Listas!$A$2:$A$134,A370)=0,"Periodo no válido",IF(X370="","Falta valor",IF(I370="","Falta fuente: no se mostrará",IF(AND(J370="",K370=""),"Sin evidencia",IF(N370&lt;&gt;"Validado","Sin validar","OK")))))))</f>
        <v/>
      </c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9" t="n"/>
      <c r="N371" s="8" t="n"/>
      <c r="O371" s="8" t="n"/>
      <c r="P371" s="9" t="n"/>
      <c r="Q371" s="8" t="n"/>
      <c r="R371" s="8" t="n"/>
      <c r="S371" s="8" t="n"/>
      <c r="T371" s="8" t="n"/>
      <c r="U371" s="8" t="n"/>
      <c r="V371" s="11">
        <f>IF(C371="","",IFERROR(INDEX(Catalogo!$C$5:$C$129,MATCH(C371,Catalogo!$A$5:$A$129,0)),"Código no existe"))</f>
        <v/>
      </c>
      <c r="W371" s="11">
        <f>IF(C371="","",IFERROR(INDEX(Catalogo!$G$5:$G$129,MATCH(C371,Catalogo!$A$5:$A$129,0)),""))</f>
        <v/>
      </c>
      <c r="X371" s="12">
        <f>IF(C371="","",IF(ISNUMBER(F371),F371,IF(AND(ISNUMBER(D371),ISNUMBER(E371),E371&gt;0),D371/E371*IF(W371="%",100,1),IF(ISNUMBER(D371),D371,""))))</f>
        <v/>
      </c>
      <c r="Y371" s="11">
        <f>IF(C371="","",IF(A371="","Falta periodo",IF(COUNTIF(Listas!$A$2:$A$134,A371)=0,"Periodo no válido",IF(X371="","Falta valor",IF(I371="","Falta fuente: no se mostrará",IF(AND(J371="",K371=""),"Sin evidencia",IF(N371&lt;&gt;"Validado","Sin validar","OK")))))))</f>
        <v/>
      </c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9" t="n"/>
      <c r="N372" s="8" t="n"/>
      <c r="O372" s="8" t="n"/>
      <c r="P372" s="9" t="n"/>
      <c r="Q372" s="8" t="n"/>
      <c r="R372" s="8" t="n"/>
      <c r="S372" s="8" t="n"/>
      <c r="T372" s="8" t="n"/>
      <c r="U372" s="8" t="n"/>
      <c r="V372" s="11">
        <f>IF(C372="","",IFERROR(INDEX(Catalogo!$C$5:$C$129,MATCH(C372,Catalogo!$A$5:$A$129,0)),"Código no existe"))</f>
        <v/>
      </c>
      <c r="W372" s="11">
        <f>IF(C372="","",IFERROR(INDEX(Catalogo!$G$5:$G$129,MATCH(C372,Catalogo!$A$5:$A$129,0)),""))</f>
        <v/>
      </c>
      <c r="X372" s="12">
        <f>IF(C372="","",IF(ISNUMBER(F372),F372,IF(AND(ISNUMBER(D372),ISNUMBER(E372),E372&gt;0),D372/E372*IF(W372="%",100,1),IF(ISNUMBER(D372),D372,""))))</f>
        <v/>
      </c>
      <c r="Y372" s="11">
        <f>IF(C372="","",IF(A372="","Falta periodo",IF(COUNTIF(Listas!$A$2:$A$134,A372)=0,"Periodo no válido",IF(X372="","Falta valor",IF(I372="","Falta fuente: no se mostrará",IF(AND(J372="",K372=""),"Sin evidencia",IF(N372&lt;&gt;"Validado","Sin validar","OK")))))))</f>
        <v/>
      </c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9" t="n"/>
      <c r="N373" s="8" t="n"/>
      <c r="O373" s="8" t="n"/>
      <c r="P373" s="9" t="n"/>
      <c r="Q373" s="8" t="n"/>
      <c r="R373" s="8" t="n"/>
      <c r="S373" s="8" t="n"/>
      <c r="T373" s="8" t="n"/>
      <c r="U373" s="8" t="n"/>
      <c r="V373" s="11">
        <f>IF(C373="","",IFERROR(INDEX(Catalogo!$C$5:$C$129,MATCH(C373,Catalogo!$A$5:$A$129,0)),"Código no existe"))</f>
        <v/>
      </c>
      <c r="W373" s="11">
        <f>IF(C373="","",IFERROR(INDEX(Catalogo!$G$5:$G$129,MATCH(C373,Catalogo!$A$5:$A$129,0)),""))</f>
        <v/>
      </c>
      <c r="X373" s="12">
        <f>IF(C373="","",IF(ISNUMBER(F373),F373,IF(AND(ISNUMBER(D373),ISNUMBER(E373),E373&gt;0),D373/E373*IF(W373="%",100,1),IF(ISNUMBER(D373),D373,""))))</f>
        <v/>
      </c>
      <c r="Y373" s="11">
        <f>IF(C373="","",IF(A373="","Falta periodo",IF(COUNTIF(Listas!$A$2:$A$134,A373)=0,"Periodo no válido",IF(X373="","Falta valor",IF(I373="","Falta fuente: no se mostrará",IF(AND(J373="",K373=""),"Sin evidencia",IF(N373&lt;&gt;"Validado","Sin validar","OK")))))))</f>
        <v/>
      </c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9" t="n"/>
      <c r="N374" s="8" t="n"/>
      <c r="O374" s="8" t="n"/>
      <c r="P374" s="9" t="n"/>
      <c r="Q374" s="8" t="n"/>
      <c r="R374" s="8" t="n"/>
      <c r="S374" s="8" t="n"/>
      <c r="T374" s="8" t="n"/>
      <c r="U374" s="8" t="n"/>
      <c r="V374" s="11">
        <f>IF(C374="","",IFERROR(INDEX(Catalogo!$C$5:$C$129,MATCH(C374,Catalogo!$A$5:$A$129,0)),"Código no existe"))</f>
        <v/>
      </c>
      <c r="W374" s="11">
        <f>IF(C374="","",IFERROR(INDEX(Catalogo!$G$5:$G$129,MATCH(C374,Catalogo!$A$5:$A$129,0)),""))</f>
        <v/>
      </c>
      <c r="X374" s="12">
        <f>IF(C374="","",IF(ISNUMBER(F374),F374,IF(AND(ISNUMBER(D374),ISNUMBER(E374),E374&gt;0),D374/E374*IF(W374="%",100,1),IF(ISNUMBER(D374),D374,""))))</f>
        <v/>
      </c>
      <c r="Y374" s="11">
        <f>IF(C374="","",IF(A374="","Falta periodo",IF(COUNTIF(Listas!$A$2:$A$134,A374)=0,"Periodo no válido",IF(X374="","Falta valor",IF(I374="","Falta fuente: no se mostrará",IF(AND(J374="",K374=""),"Sin evidencia",IF(N374&lt;&gt;"Validado","Sin validar","OK")))))))</f>
        <v/>
      </c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9" t="n"/>
      <c r="N375" s="8" t="n"/>
      <c r="O375" s="8" t="n"/>
      <c r="P375" s="9" t="n"/>
      <c r="Q375" s="8" t="n"/>
      <c r="R375" s="8" t="n"/>
      <c r="S375" s="8" t="n"/>
      <c r="T375" s="8" t="n"/>
      <c r="U375" s="8" t="n"/>
      <c r="V375" s="11">
        <f>IF(C375="","",IFERROR(INDEX(Catalogo!$C$5:$C$129,MATCH(C375,Catalogo!$A$5:$A$129,0)),"Código no existe"))</f>
        <v/>
      </c>
      <c r="W375" s="11">
        <f>IF(C375="","",IFERROR(INDEX(Catalogo!$G$5:$G$129,MATCH(C375,Catalogo!$A$5:$A$129,0)),""))</f>
        <v/>
      </c>
      <c r="X375" s="12">
        <f>IF(C375="","",IF(ISNUMBER(F375),F375,IF(AND(ISNUMBER(D375),ISNUMBER(E375),E375&gt;0),D375/E375*IF(W375="%",100,1),IF(ISNUMBER(D375),D375,""))))</f>
        <v/>
      </c>
      <c r="Y375" s="11">
        <f>IF(C375="","",IF(A375="","Falta periodo",IF(COUNTIF(Listas!$A$2:$A$134,A375)=0,"Periodo no válido",IF(X375="","Falta valor",IF(I375="","Falta fuente: no se mostrará",IF(AND(J375="",K375=""),"Sin evidencia",IF(N375&lt;&gt;"Validado","Sin validar","OK")))))))</f>
        <v/>
      </c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9" t="n"/>
      <c r="N376" s="8" t="n"/>
      <c r="O376" s="8" t="n"/>
      <c r="P376" s="9" t="n"/>
      <c r="Q376" s="8" t="n"/>
      <c r="R376" s="8" t="n"/>
      <c r="S376" s="8" t="n"/>
      <c r="T376" s="8" t="n"/>
      <c r="U376" s="8" t="n"/>
      <c r="V376" s="11">
        <f>IF(C376="","",IFERROR(INDEX(Catalogo!$C$5:$C$129,MATCH(C376,Catalogo!$A$5:$A$129,0)),"Código no existe"))</f>
        <v/>
      </c>
      <c r="W376" s="11">
        <f>IF(C376="","",IFERROR(INDEX(Catalogo!$G$5:$G$129,MATCH(C376,Catalogo!$A$5:$A$129,0)),""))</f>
        <v/>
      </c>
      <c r="X376" s="12">
        <f>IF(C376="","",IF(ISNUMBER(F376),F376,IF(AND(ISNUMBER(D376),ISNUMBER(E376),E376&gt;0),D376/E376*IF(W376="%",100,1),IF(ISNUMBER(D376),D376,""))))</f>
        <v/>
      </c>
      <c r="Y376" s="11">
        <f>IF(C376="","",IF(A376="","Falta periodo",IF(COUNTIF(Listas!$A$2:$A$134,A376)=0,"Periodo no válido",IF(X376="","Falta valor",IF(I376="","Falta fuente: no se mostrará",IF(AND(J376="",K376=""),"Sin evidencia",IF(N376&lt;&gt;"Validado","Sin validar","OK")))))))</f>
        <v/>
      </c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9" t="n"/>
      <c r="N377" s="8" t="n"/>
      <c r="O377" s="8" t="n"/>
      <c r="P377" s="9" t="n"/>
      <c r="Q377" s="8" t="n"/>
      <c r="R377" s="8" t="n"/>
      <c r="S377" s="8" t="n"/>
      <c r="T377" s="8" t="n"/>
      <c r="U377" s="8" t="n"/>
      <c r="V377" s="11">
        <f>IF(C377="","",IFERROR(INDEX(Catalogo!$C$5:$C$129,MATCH(C377,Catalogo!$A$5:$A$129,0)),"Código no existe"))</f>
        <v/>
      </c>
      <c r="W377" s="11">
        <f>IF(C377="","",IFERROR(INDEX(Catalogo!$G$5:$G$129,MATCH(C377,Catalogo!$A$5:$A$129,0)),""))</f>
        <v/>
      </c>
      <c r="X377" s="12">
        <f>IF(C377="","",IF(ISNUMBER(F377),F377,IF(AND(ISNUMBER(D377),ISNUMBER(E377),E377&gt;0),D377/E377*IF(W377="%",100,1),IF(ISNUMBER(D377),D377,""))))</f>
        <v/>
      </c>
      <c r="Y377" s="11">
        <f>IF(C377="","",IF(A377="","Falta periodo",IF(COUNTIF(Listas!$A$2:$A$134,A377)=0,"Periodo no válido",IF(X377="","Falta valor",IF(I377="","Falta fuente: no se mostrará",IF(AND(J377="",K377=""),"Sin evidencia",IF(N377&lt;&gt;"Validado","Sin validar","OK")))))))</f>
        <v/>
      </c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9" t="n"/>
      <c r="N378" s="8" t="n"/>
      <c r="O378" s="8" t="n"/>
      <c r="P378" s="9" t="n"/>
      <c r="Q378" s="8" t="n"/>
      <c r="R378" s="8" t="n"/>
      <c r="S378" s="8" t="n"/>
      <c r="T378" s="8" t="n"/>
      <c r="U378" s="8" t="n"/>
      <c r="V378" s="11">
        <f>IF(C378="","",IFERROR(INDEX(Catalogo!$C$5:$C$129,MATCH(C378,Catalogo!$A$5:$A$129,0)),"Código no existe"))</f>
        <v/>
      </c>
      <c r="W378" s="11">
        <f>IF(C378="","",IFERROR(INDEX(Catalogo!$G$5:$G$129,MATCH(C378,Catalogo!$A$5:$A$129,0)),""))</f>
        <v/>
      </c>
      <c r="X378" s="12">
        <f>IF(C378="","",IF(ISNUMBER(F378),F378,IF(AND(ISNUMBER(D378),ISNUMBER(E378),E378&gt;0),D378/E378*IF(W378="%",100,1),IF(ISNUMBER(D378),D378,""))))</f>
        <v/>
      </c>
      <c r="Y378" s="11">
        <f>IF(C378="","",IF(A378="","Falta periodo",IF(COUNTIF(Listas!$A$2:$A$134,A378)=0,"Periodo no válido",IF(X378="","Falta valor",IF(I378="","Falta fuente: no se mostrará",IF(AND(J378="",K378=""),"Sin evidencia",IF(N378&lt;&gt;"Validado","Sin validar","OK")))))))</f>
        <v/>
      </c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9" t="n"/>
      <c r="N379" s="8" t="n"/>
      <c r="O379" s="8" t="n"/>
      <c r="P379" s="9" t="n"/>
      <c r="Q379" s="8" t="n"/>
      <c r="R379" s="8" t="n"/>
      <c r="S379" s="8" t="n"/>
      <c r="T379" s="8" t="n"/>
      <c r="U379" s="8" t="n"/>
      <c r="V379" s="11">
        <f>IF(C379="","",IFERROR(INDEX(Catalogo!$C$5:$C$129,MATCH(C379,Catalogo!$A$5:$A$129,0)),"Código no existe"))</f>
        <v/>
      </c>
      <c r="W379" s="11">
        <f>IF(C379="","",IFERROR(INDEX(Catalogo!$G$5:$G$129,MATCH(C379,Catalogo!$A$5:$A$129,0)),""))</f>
        <v/>
      </c>
      <c r="X379" s="12">
        <f>IF(C379="","",IF(ISNUMBER(F379),F379,IF(AND(ISNUMBER(D379),ISNUMBER(E379),E379&gt;0),D379/E379*IF(W379="%",100,1),IF(ISNUMBER(D379),D379,""))))</f>
        <v/>
      </c>
      <c r="Y379" s="11">
        <f>IF(C379="","",IF(A379="","Falta periodo",IF(COUNTIF(Listas!$A$2:$A$134,A379)=0,"Periodo no válido",IF(X379="","Falta valor",IF(I379="","Falta fuente: no se mostrará",IF(AND(J379="",K379=""),"Sin evidencia",IF(N379&lt;&gt;"Validado","Sin validar","OK")))))))</f>
        <v/>
      </c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9" t="n"/>
      <c r="N380" s="8" t="n"/>
      <c r="O380" s="8" t="n"/>
      <c r="P380" s="9" t="n"/>
      <c r="Q380" s="8" t="n"/>
      <c r="R380" s="8" t="n"/>
      <c r="S380" s="8" t="n"/>
      <c r="T380" s="8" t="n"/>
      <c r="U380" s="8" t="n"/>
      <c r="V380" s="11">
        <f>IF(C380="","",IFERROR(INDEX(Catalogo!$C$5:$C$129,MATCH(C380,Catalogo!$A$5:$A$129,0)),"Código no existe"))</f>
        <v/>
      </c>
      <c r="W380" s="11">
        <f>IF(C380="","",IFERROR(INDEX(Catalogo!$G$5:$G$129,MATCH(C380,Catalogo!$A$5:$A$129,0)),""))</f>
        <v/>
      </c>
      <c r="X380" s="12">
        <f>IF(C380="","",IF(ISNUMBER(F380),F380,IF(AND(ISNUMBER(D380),ISNUMBER(E380),E380&gt;0),D380/E380*IF(W380="%",100,1),IF(ISNUMBER(D380),D380,""))))</f>
        <v/>
      </c>
      <c r="Y380" s="11">
        <f>IF(C380="","",IF(A380="","Falta periodo",IF(COUNTIF(Listas!$A$2:$A$134,A380)=0,"Periodo no válido",IF(X380="","Falta valor",IF(I380="","Falta fuente: no se mostrará",IF(AND(J380="",K380=""),"Sin evidencia",IF(N380&lt;&gt;"Validado","Sin validar","OK")))))))</f>
        <v/>
      </c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9" t="n"/>
      <c r="N381" s="8" t="n"/>
      <c r="O381" s="8" t="n"/>
      <c r="P381" s="9" t="n"/>
      <c r="Q381" s="8" t="n"/>
      <c r="R381" s="8" t="n"/>
      <c r="S381" s="8" t="n"/>
      <c r="T381" s="8" t="n"/>
      <c r="U381" s="8" t="n"/>
      <c r="V381" s="11">
        <f>IF(C381="","",IFERROR(INDEX(Catalogo!$C$5:$C$129,MATCH(C381,Catalogo!$A$5:$A$129,0)),"Código no existe"))</f>
        <v/>
      </c>
      <c r="W381" s="11">
        <f>IF(C381="","",IFERROR(INDEX(Catalogo!$G$5:$G$129,MATCH(C381,Catalogo!$A$5:$A$129,0)),""))</f>
        <v/>
      </c>
      <c r="X381" s="12">
        <f>IF(C381="","",IF(ISNUMBER(F381),F381,IF(AND(ISNUMBER(D381),ISNUMBER(E381),E381&gt;0),D381/E381*IF(W381="%",100,1),IF(ISNUMBER(D381),D381,""))))</f>
        <v/>
      </c>
      <c r="Y381" s="11">
        <f>IF(C381="","",IF(A381="","Falta periodo",IF(COUNTIF(Listas!$A$2:$A$134,A381)=0,"Periodo no válido",IF(X381="","Falta valor",IF(I381="","Falta fuente: no se mostrará",IF(AND(J381="",K381=""),"Sin evidencia",IF(N381&lt;&gt;"Validado","Sin validar","OK")))))))</f>
        <v/>
      </c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9" t="n"/>
      <c r="N382" s="8" t="n"/>
      <c r="O382" s="8" t="n"/>
      <c r="P382" s="9" t="n"/>
      <c r="Q382" s="8" t="n"/>
      <c r="R382" s="8" t="n"/>
      <c r="S382" s="8" t="n"/>
      <c r="T382" s="8" t="n"/>
      <c r="U382" s="8" t="n"/>
      <c r="V382" s="11">
        <f>IF(C382="","",IFERROR(INDEX(Catalogo!$C$5:$C$129,MATCH(C382,Catalogo!$A$5:$A$129,0)),"Código no existe"))</f>
        <v/>
      </c>
      <c r="W382" s="11">
        <f>IF(C382="","",IFERROR(INDEX(Catalogo!$G$5:$G$129,MATCH(C382,Catalogo!$A$5:$A$129,0)),""))</f>
        <v/>
      </c>
      <c r="X382" s="12">
        <f>IF(C382="","",IF(ISNUMBER(F382),F382,IF(AND(ISNUMBER(D382),ISNUMBER(E382),E382&gt;0),D382/E382*IF(W382="%",100,1),IF(ISNUMBER(D382),D382,""))))</f>
        <v/>
      </c>
      <c r="Y382" s="11">
        <f>IF(C382="","",IF(A382="","Falta periodo",IF(COUNTIF(Listas!$A$2:$A$134,A382)=0,"Periodo no válido",IF(X382="","Falta valor",IF(I382="","Falta fuente: no se mostrará",IF(AND(J382="",K382=""),"Sin evidencia",IF(N382&lt;&gt;"Validado","Sin validar","OK")))))))</f>
        <v/>
      </c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9" t="n"/>
      <c r="N383" s="8" t="n"/>
      <c r="O383" s="8" t="n"/>
      <c r="P383" s="9" t="n"/>
      <c r="Q383" s="8" t="n"/>
      <c r="R383" s="8" t="n"/>
      <c r="S383" s="8" t="n"/>
      <c r="T383" s="8" t="n"/>
      <c r="U383" s="8" t="n"/>
      <c r="V383" s="11">
        <f>IF(C383="","",IFERROR(INDEX(Catalogo!$C$5:$C$129,MATCH(C383,Catalogo!$A$5:$A$129,0)),"Código no existe"))</f>
        <v/>
      </c>
      <c r="W383" s="11">
        <f>IF(C383="","",IFERROR(INDEX(Catalogo!$G$5:$G$129,MATCH(C383,Catalogo!$A$5:$A$129,0)),""))</f>
        <v/>
      </c>
      <c r="X383" s="12">
        <f>IF(C383="","",IF(ISNUMBER(F383),F383,IF(AND(ISNUMBER(D383),ISNUMBER(E383),E383&gt;0),D383/E383*IF(W383="%",100,1),IF(ISNUMBER(D383),D383,""))))</f>
        <v/>
      </c>
      <c r="Y383" s="11">
        <f>IF(C383="","",IF(A383="","Falta periodo",IF(COUNTIF(Listas!$A$2:$A$134,A383)=0,"Periodo no válido",IF(X383="","Falta valor",IF(I383="","Falta fuente: no se mostrará",IF(AND(J383="",K383=""),"Sin evidencia",IF(N383&lt;&gt;"Validado","Sin validar","OK")))))))</f>
        <v/>
      </c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9" t="n"/>
      <c r="N384" s="8" t="n"/>
      <c r="O384" s="8" t="n"/>
      <c r="P384" s="9" t="n"/>
      <c r="Q384" s="8" t="n"/>
      <c r="R384" s="8" t="n"/>
      <c r="S384" s="8" t="n"/>
      <c r="T384" s="8" t="n"/>
      <c r="U384" s="8" t="n"/>
      <c r="V384" s="11">
        <f>IF(C384="","",IFERROR(INDEX(Catalogo!$C$5:$C$129,MATCH(C384,Catalogo!$A$5:$A$129,0)),"Código no existe"))</f>
        <v/>
      </c>
      <c r="W384" s="11">
        <f>IF(C384="","",IFERROR(INDEX(Catalogo!$G$5:$G$129,MATCH(C384,Catalogo!$A$5:$A$129,0)),""))</f>
        <v/>
      </c>
      <c r="X384" s="12">
        <f>IF(C384="","",IF(ISNUMBER(F384),F384,IF(AND(ISNUMBER(D384),ISNUMBER(E384),E384&gt;0),D384/E384*IF(W384="%",100,1),IF(ISNUMBER(D384),D384,""))))</f>
        <v/>
      </c>
      <c r="Y384" s="11">
        <f>IF(C384="","",IF(A384="","Falta periodo",IF(COUNTIF(Listas!$A$2:$A$134,A384)=0,"Periodo no válido",IF(X384="","Falta valor",IF(I384="","Falta fuente: no se mostrará",IF(AND(J384="",K384=""),"Sin evidencia",IF(N384&lt;&gt;"Validado","Sin validar","OK")))))))</f>
        <v/>
      </c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9" t="n"/>
      <c r="N385" s="8" t="n"/>
      <c r="O385" s="8" t="n"/>
      <c r="P385" s="9" t="n"/>
      <c r="Q385" s="8" t="n"/>
      <c r="R385" s="8" t="n"/>
      <c r="S385" s="8" t="n"/>
      <c r="T385" s="8" t="n"/>
      <c r="U385" s="8" t="n"/>
      <c r="V385" s="11">
        <f>IF(C385="","",IFERROR(INDEX(Catalogo!$C$5:$C$129,MATCH(C385,Catalogo!$A$5:$A$129,0)),"Código no existe"))</f>
        <v/>
      </c>
      <c r="W385" s="11">
        <f>IF(C385="","",IFERROR(INDEX(Catalogo!$G$5:$G$129,MATCH(C385,Catalogo!$A$5:$A$129,0)),""))</f>
        <v/>
      </c>
      <c r="X385" s="12">
        <f>IF(C385="","",IF(ISNUMBER(F385),F385,IF(AND(ISNUMBER(D385),ISNUMBER(E385),E385&gt;0),D385/E385*IF(W385="%",100,1),IF(ISNUMBER(D385),D385,""))))</f>
        <v/>
      </c>
      <c r="Y385" s="11">
        <f>IF(C385="","",IF(A385="","Falta periodo",IF(COUNTIF(Listas!$A$2:$A$134,A385)=0,"Periodo no válido",IF(X385="","Falta valor",IF(I385="","Falta fuente: no se mostrará",IF(AND(J385="",K385=""),"Sin evidencia",IF(N385&lt;&gt;"Validado","Sin validar","OK")))))))</f>
        <v/>
      </c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9" t="n"/>
      <c r="N386" s="8" t="n"/>
      <c r="O386" s="8" t="n"/>
      <c r="P386" s="9" t="n"/>
      <c r="Q386" s="8" t="n"/>
      <c r="R386" s="8" t="n"/>
      <c r="S386" s="8" t="n"/>
      <c r="T386" s="8" t="n"/>
      <c r="U386" s="8" t="n"/>
      <c r="V386" s="11">
        <f>IF(C386="","",IFERROR(INDEX(Catalogo!$C$5:$C$129,MATCH(C386,Catalogo!$A$5:$A$129,0)),"Código no existe"))</f>
        <v/>
      </c>
      <c r="W386" s="11">
        <f>IF(C386="","",IFERROR(INDEX(Catalogo!$G$5:$G$129,MATCH(C386,Catalogo!$A$5:$A$129,0)),""))</f>
        <v/>
      </c>
      <c r="X386" s="12">
        <f>IF(C386="","",IF(ISNUMBER(F386),F386,IF(AND(ISNUMBER(D386),ISNUMBER(E386),E386&gt;0),D386/E386*IF(W386="%",100,1),IF(ISNUMBER(D386),D386,""))))</f>
        <v/>
      </c>
      <c r="Y386" s="11">
        <f>IF(C386="","",IF(A386="","Falta periodo",IF(COUNTIF(Listas!$A$2:$A$134,A386)=0,"Periodo no válido",IF(X386="","Falta valor",IF(I386="","Falta fuente: no se mostrará",IF(AND(J386="",K386=""),"Sin evidencia",IF(N386&lt;&gt;"Validado","Sin validar","OK")))))))</f>
        <v/>
      </c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9" t="n"/>
      <c r="N387" s="8" t="n"/>
      <c r="O387" s="8" t="n"/>
      <c r="P387" s="9" t="n"/>
      <c r="Q387" s="8" t="n"/>
      <c r="R387" s="8" t="n"/>
      <c r="S387" s="8" t="n"/>
      <c r="T387" s="8" t="n"/>
      <c r="U387" s="8" t="n"/>
      <c r="V387" s="11">
        <f>IF(C387="","",IFERROR(INDEX(Catalogo!$C$5:$C$129,MATCH(C387,Catalogo!$A$5:$A$129,0)),"Código no existe"))</f>
        <v/>
      </c>
      <c r="W387" s="11">
        <f>IF(C387="","",IFERROR(INDEX(Catalogo!$G$5:$G$129,MATCH(C387,Catalogo!$A$5:$A$129,0)),""))</f>
        <v/>
      </c>
      <c r="X387" s="12">
        <f>IF(C387="","",IF(ISNUMBER(F387),F387,IF(AND(ISNUMBER(D387),ISNUMBER(E387),E387&gt;0),D387/E387*IF(W387="%",100,1),IF(ISNUMBER(D387),D387,""))))</f>
        <v/>
      </c>
      <c r="Y387" s="11">
        <f>IF(C387="","",IF(A387="","Falta periodo",IF(COUNTIF(Listas!$A$2:$A$134,A387)=0,"Periodo no válido",IF(X387="","Falta valor",IF(I387="","Falta fuente: no se mostrará",IF(AND(J387="",K387=""),"Sin evidencia",IF(N387&lt;&gt;"Validado","Sin validar","OK")))))))</f>
        <v/>
      </c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9" t="n"/>
      <c r="N388" s="8" t="n"/>
      <c r="O388" s="8" t="n"/>
      <c r="P388" s="9" t="n"/>
      <c r="Q388" s="8" t="n"/>
      <c r="R388" s="8" t="n"/>
      <c r="S388" s="8" t="n"/>
      <c r="T388" s="8" t="n"/>
      <c r="U388" s="8" t="n"/>
      <c r="V388" s="11">
        <f>IF(C388="","",IFERROR(INDEX(Catalogo!$C$5:$C$129,MATCH(C388,Catalogo!$A$5:$A$129,0)),"Código no existe"))</f>
        <v/>
      </c>
      <c r="W388" s="11">
        <f>IF(C388="","",IFERROR(INDEX(Catalogo!$G$5:$G$129,MATCH(C388,Catalogo!$A$5:$A$129,0)),""))</f>
        <v/>
      </c>
      <c r="X388" s="12">
        <f>IF(C388="","",IF(ISNUMBER(F388),F388,IF(AND(ISNUMBER(D388),ISNUMBER(E388),E388&gt;0),D388/E388*IF(W388="%",100,1),IF(ISNUMBER(D388),D388,""))))</f>
        <v/>
      </c>
      <c r="Y388" s="11">
        <f>IF(C388="","",IF(A388="","Falta periodo",IF(COUNTIF(Listas!$A$2:$A$134,A388)=0,"Periodo no válido",IF(X388="","Falta valor",IF(I388="","Falta fuente: no se mostrará",IF(AND(J388="",K388=""),"Sin evidencia",IF(N388&lt;&gt;"Validado","Sin validar","OK")))))))</f>
        <v/>
      </c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9" t="n"/>
      <c r="N389" s="8" t="n"/>
      <c r="O389" s="8" t="n"/>
      <c r="P389" s="9" t="n"/>
      <c r="Q389" s="8" t="n"/>
      <c r="R389" s="8" t="n"/>
      <c r="S389" s="8" t="n"/>
      <c r="T389" s="8" t="n"/>
      <c r="U389" s="8" t="n"/>
      <c r="V389" s="11">
        <f>IF(C389="","",IFERROR(INDEX(Catalogo!$C$5:$C$129,MATCH(C389,Catalogo!$A$5:$A$129,0)),"Código no existe"))</f>
        <v/>
      </c>
      <c r="W389" s="11">
        <f>IF(C389="","",IFERROR(INDEX(Catalogo!$G$5:$G$129,MATCH(C389,Catalogo!$A$5:$A$129,0)),""))</f>
        <v/>
      </c>
      <c r="X389" s="12">
        <f>IF(C389="","",IF(ISNUMBER(F389),F389,IF(AND(ISNUMBER(D389),ISNUMBER(E389),E389&gt;0),D389/E389*IF(W389="%",100,1),IF(ISNUMBER(D389),D389,""))))</f>
        <v/>
      </c>
      <c r="Y389" s="11">
        <f>IF(C389="","",IF(A389="","Falta periodo",IF(COUNTIF(Listas!$A$2:$A$134,A389)=0,"Periodo no válido",IF(X389="","Falta valor",IF(I389="","Falta fuente: no se mostrará",IF(AND(J389="",K389=""),"Sin evidencia",IF(N389&lt;&gt;"Validado","Sin validar","OK")))))))</f>
        <v/>
      </c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9" t="n"/>
      <c r="N390" s="8" t="n"/>
      <c r="O390" s="8" t="n"/>
      <c r="P390" s="9" t="n"/>
      <c r="Q390" s="8" t="n"/>
      <c r="R390" s="8" t="n"/>
      <c r="S390" s="8" t="n"/>
      <c r="T390" s="8" t="n"/>
      <c r="U390" s="8" t="n"/>
      <c r="V390" s="11">
        <f>IF(C390="","",IFERROR(INDEX(Catalogo!$C$5:$C$129,MATCH(C390,Catalogo!$A$5:$A$129,0)),"Código no existe"))</f>
        <v/>
      </c>
      <c r="W390" s="11">
        <f>IF(C390="","",IFERROR(INDEX(Catalogo!$G$5:$G$129,MATCH(C390,Catalogo!$A$5:$A$129,0)),""))</f>
        <v/>
      </c>
      <c r="X390" s="12">
        <f>IF(C390="","",IF(ISNUMBER(F390),F390,IF(AND(ISNUMBER(D390),ISNUMBER(E390),E390&gt;0),D390/E390*IF(W390="%",100,1),IF(ISNUMBER(D390),D390,""))))</f>
        <v/>
      </c>
      <c r="Y390" s="11">
        <f>IF(C390="","",IF(A390="","Falta periodo",IF(COUNTIF(Listas!$A$2:$A$134,A390)=0,"Periodo no válido",IF(X390="","Falta valor",IF(I390="","Falta fuente: no se mostrará",IF(AND(J390="",K390=""),"Sin evidencia",IF(N390&lt;&gt;"Validado","Sin validar","OK")))))))</f>
        <v/>
      </c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9" t="n"/>
      <c r="N391" s="8" t="n"/>
      <c r="O391" s="8" t="n"/>
      <c r="P391" s="9" t="n"/>
      <c r="Q391" s="8" t="n"/>
      <c r="R391" s="8" t="n"/>
      <c r="S391" s="8" t="n"/>
      <c r="T391" s="8" t="n"/>
      <c r="U391" s="8" t="n"/>
      <c r="V391" s="11">
        <f>IF(C391="","",IFERROR(INDEX(Catalogo!$C$5:$C$129,MATCH(C391,Catalogo!$A$5:$A$129,0)),"Código no existe"))</f>
        <v/>
      </c>
      <c r="W391" s="11">
        <f>IF(C391="","",IFERROR(INDEX(Catalogo!$G$5:$G$129,MATCH(C391,Catalogo!$A$5:$A$129,0)),""))</f>
        <v/>
      </c>
      <c r="X391" s="12">
        <f>IF(C391="","",IF(ISNUMBER(F391),F391,IF(AND(ISNUMBER(D391),ISNUMBER(E391),E391&gt;0),D391/E391*IF(W391="%",100,1),IF(ISNUMBER(D391),D391,""))))</f>
        <v/>
      </c>
      <c r="Y391" s="11">
        <f>IF(C391="","",IF(A391="","Falta periodo",IF(COUNTIF(Listas!$A$2:$A$134,A391)=0,"Periodo no válido",IF(X391="","Falta valor",IF(I391="","Falta fuente: no se mostrará",IF(AND(J391="",K391=""),"Sin evidencia",IF(N391&lt;&gt;"Validado","Sin validar","OK")))))))</f>
        <v/>
      </c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9" t="n"/>
      <c r="N392" s="8" t="n"/>
      <c r="O392" s="8" t="n"/>
      <c r="P392" s="9" t="n"/>
      <c r="Q392" s="8" t="n"/>
      <c r="R392" s="8" t="n"/>
      <c r="S392" s="8" t="n"/>
      <c r="T392" s="8" t="n"/>
      <c r="U392" s="8" t="n"/>
      <c r="V392" s="11">
        <f>IF(C392="","",IFERROR(INDEX(Catalogo!$C$5:$C$129,MATCH(C392,Catalogo!$A$5:$A$129,0)),"Código no existe"))</f>
        <v/>
      </c>
      <c r="W392" s="11">
        <f>IF(C392="","",IFERROR(INDEX(Catalogo!$G$5:$G$129,MATCH(C392,Catalogo!$A$5:$A$129,0)),""))</f>
        <v/>
      </c>
      <c r="X392" s="12">
        <f>IF(C392="","",IF(ISNUMBER(F392),F392,IF(AND(ISNUMBER(D392),ISNUMBER(E392),E392&gt;0),D392/E392*IF(W392="%",100,1),IF(ISNUMBER(D392),D392,""))))</f>
        <v/>
      </c>
      <c r="Y392" s="11">
        <f>IF(C392="","",IF(A392="","Falta periodo",IF(COUNTIF(Listas!$A$2:$A$134,A392)=0,"Periodo no válido",IF(X392="","Falta valor",IF(I392="","Falta fuente: no se mostrará",IF(AND(J392="",K392=""),"Sin evidencia",IF(N392&lt;&gt;"Validado","Sin validar","OK")))))))</f>
        <v/>
      </c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9" t="n"/>
      <c r="N393" s="8" t="n"/>
      <c r="O393" s="8" t="n"/>
      <c r="P393" s="9" t="n"/>
      <c r="Q393" s="8" t="n"/>
      <c r="R393" s="8" t="n"/>
      <c r="S393" s="8" t="n"/>
      <c r="T393" s="8" t="n"/>
      <c r="U393" s="8" t="n"/>
      <c r="V393" s="11">
        <f>IF(C393="","",IFERROR(INDEX(Catalogo!$C$5:$C$129,MATCH(C393,Catalogo!$A$5:$A$129,0)),"Código no existe"))</f>
        <v/>
      </c>
      <c r="W393" s="11">
        <f>IF(C393="","",IFERROR(INDEX(Catalogo!$G$5:$G$129,MATCH(C393,Catalogo!$A$5:$A$129,0)),""))</f>
        <v/>
      </c>
      <c r="X393" s="12">
        <f>IF(C393="","",IF(ISNUMBER(F393),F393,IF(AND(ISNUMBER(D393),ISNUMBER(E393),E393&gt;0),D393/E393*IF(W393="%",100,1),IF(ISNUMBER(D393),D393,""))))</f>
        <v/>
      </c>
      <c r="Y393" s="11">
        <f>IF(C393="","",IF(A393="","Falta periodo",IF(COUNTIF(Listas!$A$2:$A$134,A393)=0,"Periodo no válido",IF(X393="","Falta valor",IF(I393="","Falta fuente: no se mostrará",IF(AND(J393="",K393=""),"Sin evidencia",IF(N393&lt;&gt;"Validado","Sin validar","OK")))))))</f>
        <v/>
      </c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9" t="n"/>
      <c r="N394" s="8" t="n"/>
      <c r="O394" s="8" t="n"/>
      <c r="P394" s="9" t="n"/>
      <c r="Q394" s="8" t="n"/>
      <c r="R394" s="8" t="n"/>
      <c r="S394" s="8" t="n"/>
      <c r="T394" s="8" t="n"/>
      <c r="U394" s="8" t="n"/>
      <c r="V394" s="11">
        <f>IF(C394="","",IFERROR(INDEX(Catalogo!$C$5:$C$129,MATCH(C394,Catalogo!$A$5:$A$129,0)),"Código no existe"))</f>
        <v/>
      </c>
      <c r="W394" s="11">
        <f>IF(C394="","",IFERROR(INDEX(Catalogo!$G$5:$G$129,MATCH(C394,Catalogo!$A$5:$A$129,0)),""))</f>
        <v/>
      </c>
      <c r="X394" s="12">
        <f>IF(C394="","",IF(ISNUMBER(F394),F394,IF(AND(ISNUMBER(D394),ISNUMBER(E394),E394&gt;0),D394/E394*IF(W394="%",100,1),IF(ISNUMBER(D394),D394,""))))</f>
        <v/>
      </c>
      <c r="Y394" s="11">
        <f>IF(C394="","",IF(A394="","Falta periodo",IF(COUNTIF(Listas!$A$2:$A$134,A394)=0,"Periodo no válido",IF(X394="","Falta valor",IF(I394="","Falta fuente: no se mostrará",IF(AND(J394="",K394=""),"Sin evidencia",IF(N394&lt;&gt;"Validado","Sin validar","OK")))))))</f>
        <v/>
      </c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9" t="n"/>
      <c r="N395" s="8" t="n"/>
      <c r="O395" s="8" t="n"/>
      <c r="P395" s="9" t="n"/>
      <c r="Q395" s="8" t="n"/>
      <c r="R395" s="8" t="n"/>
      <c r="S395" s="8" t="n"/>
      <c r="T395" s="8" t="n"/>
      <c r="U395" s="8" t="n"/>
      <c r="V395" s="11">
        <f>IF(C395="","",IFERROR(INDEX(Catalogo!$C$5:$C$129,MATCH(C395,Catalogo!$A$5:$A$129,0)),"Código no existe"))</f>
        <v/>
      </c>
      <c r="W395" s="11">
        <f>IF(C395="","",IFERROR(INDEX(Catalogo!$G$5:$G$129,MATCH(C395,Catalogo!$A$5:$A$129,0)),""))</f>
        <v/>
      </c>
      <c r="X395" s="12">
        <f>IF(C395="","",IF(ISNUMBER(F395),F395,IF(AND(ISNUMBER(D395),ISNUMBER(E395),E395&gt;0),D395/E395*IF(W395="%",100,1),IF(ISNUMBER(D395),D395,""))))</f>
        <v/>
      </c>
      <c r="Y395" s="11">
        <f>IF(C395="","",IF(A395="","Falta periodo",IF(COUNTIF(Listas!$A$2:$A$134,A395)=0,"Periodo no válido",IF(X395="","Falta valor",IF(I395="","Falta fuente: no se mostrará",IF(AND(J395="",K395=""),"Sin evidencia",IF(N395&lt;&gt;"Validado","Sin validar","OK")))))))</f>
        <v/>
      </c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9" t="n"/>
      <c r="N396" s="8" t="n"/>
      <c r="O396" s="8" t="n"/>
      <c r="P396" s="9" t="n"/>
      <c r="Q396" s="8" t="n"/>
      <c r="R396" s="8" t="n"/>
      <c r="S396" s="8" t="n"/>
      <c r="T396" s="8" t="n"/>
      <c r="U396" s="8" t="n"/>
      <c r="V396" s="11">
        <f>IF(C396="","",IFERROR(INDEX(Catalogo!$C$5:$C$129,MATCH(C396,Catalogo!$A$5:$A$129,0)),"Código no existe"))</f>
        <v/>
      </c>
      <c r="W396" s="11">
        <f>IF(C396="","",IFERROR(INDEX(Catalogo!$G$5:$G$129,MATCH(C396,Catalogo!$A$5:$A$129,0)),""))</f>
        <v/>
      </c>
      <c r="X396" s="12">
        <f>IF(C396="","",IF(ISNUMBER(F396),F396,IF(AND(ISNUMBER(D396),ISNUMBER(E396),E396&gt;0),D396/E396*IF(W396="%",100,1),IF(ISNUMBER(D396),D396,""))))</f>
        <v/>
      </c>
      <c r="Y396" s="11">
        <f>IF(C396="","",IF(A396="","Falta periodo",IF(COUNTIF(Listas!$A$2:$A$134,A396)=0,"Periodo no válido",IF(X396="","Falta valor",IF(I396="","Falta fuente: no se mostrará",IF(AND(J396="",K396=""),"Sin evidencia",IF(N396&lt;&gt;"Validado","Sin validar","OK")))))))</f>
        <v/>
      </c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9" t="n"/>
      <c r="N397" s="8" t="n"/>
      <c r="O397" s="8" t="n"/>
      <c r="P397" s="9" t="n"/>
      <c r="Q397" s="8" t="n"/>
      <c r="R397" s="8" t="n"/>
      <c r="S397" s="8" t="n"/>
      <c r="T397" s="8" t="n"/>
      <c r="U397" s="8" t="n"/>
      <c r="V397" s="11">
        <f>IF(C397="","",IFERROR(INDEX(Catalogo!$C$5:$C$129,MATCH(C397,Catalogo!$A$5:$A$129,0)),"Código no existe"))</f>
        <v/>
      </c>
      <c r="W397" s="11">
        <f>IF(C397="","",IFERROR(INDEX(Catalogo!$G$5:$G$129,MATCH(C397,Catalogo!$A$5:$A$129,0)),""))</f>
        <v/>
      </c>
      <c r="X397" s="12">
        <f>IF(C397="","",IF(ISNUMBER(F397),F397,IF(AND(ISNUMBER(D397),ISNUMBER(E397),E397&gt;0),D397/E397*IF(W397="%",100,1),IF(ISNUMBER(D397),D397,""))))</f>
        <v/>
      </c>
      <c r="Y397" s="11">
        <f>IF(C397="","",IF(A397="","Falta periodo",IF(COUNTIF(Listas!$A$2:$A$134,A397)=0,"Periodo no válido",IF(X397="","Falta valor",IF(I397="","Falta fuente: no se mostrará",IF(AND(J397="",K397=""),"Sin evidencia",IF(N397&lt;&gt;"Validado","Sin validar","OK")))))))</f>
        <v/>
      </c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9" t="n"/>
      <c r="N398" s="8" t="n"/>
      <c r="O398" s="8" t="n"/>
      <c r="P398" s="9" t="n"/>
      <c r="Q398" s="8" t="n"/>
      <c r="R398" s="8" t="n"/>
      <c r="S398" s="8" t="n"/>
      <c r="T398" s="8" t="n"/>
      <c r="U398" s="8" t="n"/>
      <c r="V398" s="11">
        <f>IF(C398="","",IFERROR(INDEX(Catalogo!$C$5:$C$129,MATCH(C398,Catalogo!$A$5:$A$129,0)),"Código no existe"))</f>
        <v/>
      </c>
      <c r="W398" s="11">
        <f>IF(C398="","",IFERROR(INDEX(Catalogo!$G$5:$G$129,MATCH(C398,Catalogo!$A$5:$A$129,0)),""))</f>
        <v/>
      </c>
      <c r="X398" s="12">
        <f>IF(C398="","",IF(ISNUMBER(F398),F398,IF(AND(ISNUMBER(D398),ISNUMBER(E398),E398&gt;0),D398/E398*IF(W398="%",100,1),IF(ISNUMBER(D398),D398,""))))</f>
        <v/>
      </c>
      <c r="Y398" s="11">
        <f>IF(C398="","",IF(A398="","Falta periodo",IF(COUNTIF(Listas!$A$2:$A$134,A398)=0,"Periodo no válido",IF(X398="","Falta valor",IF(I398="","Falta fuente: no se mostrará",IF(AND(J398="",K398=""),"Sin evidencia",IF(N398&lt;&gt;"Validado","Sin validar","OK")))))))</f>
        <v/>
      </c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9" t="n"/>
      <c r="N399" s="8" t="n"/>
      <c r="O399" s="8" t="n"/>
      <c r="P399" s="9" t="n"/>
      <c r="Q399" s="8" t="n"/>
      <c r="R399" s="8" t="n"/>
      <c r="S399" s="8" t="n"/>
      <c r="T399" s="8" t="n"/>
      <c r="U399" s="8" t="n"/>
      <c r="V399" s="11">
        <f>IF(C399="","",IFERROR(INDEX(Catalogo!$C$5:$C$129,MATCH(C399,Catalogo!$A$5:$A$129,0)),"Código no existe"))</f>
        <v/>
      </c>
      <c r="W399" s="11">
        <f>IF(C399="","",IFERROR(INDEX(Catalogo!$G$5:$G$129,MATCH(C399,Catalogo!$A$5:$A$129,0)),""))</f>
        <v/>
      </c>
      <c r="X399" s="12">
        <f>IF(C399="","",IF(ISNUMBER(F399),F399,IF(AND(ISNUMBER(D399),ISNUMBER(E399),E399&gt;0),D399/E399*IF(W399="%",100,1),IF(ISNUMBER(D399),D399,""))))</f>
        <v/>
      </c>
      <c r="Y399" s="11">
        <f>IF(C399="","",IF(A399="","Falta periodo",IF(COUNTIF(Listas!$A$2:$A$134,A399)=0,"Periodo no válido",IF(X399="","Falta valor",IF(I399="","Falta fuente: no se mostrará",IF(AND(J399="",K399=""),"Sin evidencia",IF(N399&lt;&gt;"Validado","Sin validar","OK")))))))</f>
        <v/>
      </c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9" t="n"/>
      <c r="N400" s="8" t="n"/>
      <c r="O400" s="8" t="n"/>
      <c r="P400" s="9" t="n"/>
      <c r="Q400" s="8" t="n"/>
      <c r="R400" s="8" t="n"/>
      <c r="S400" s="8" t="n"/>
      <c r="T400" s="8" t="n"/>
      <c r="U400" s="8" t="n"/>
      <c r="V400" s="11">
        <f>IF(C400="","",IFERROR(INDEX(Catalogo!$C$5:$C$129,MATCH(C400,Catalogo!$A$5:$A$129,0)),"Código no existe"))</f>
        <v/>
      </c>
      <c r="W400" s="11">
        <f>IF(C400="","",IFERROR(INDEX(Catalogo!$G$5:$G$129,MATCH(C400,Catalogo!$A$5:$A$129,0)),""))</f>
        <v/>
      </c>
      <c r="X400" s="12">
        <f>IF(C400="","",IF(ISNUMBER(F400),F400,IF(AND(ISNUMBER(D400),ISNUMBER(E400),E400&gt;0),D400/E400*IF(W400="%",100,1),IF(ISNUMBER(D400),D400,""))))</f>
        <v/>
      </c>
      <c r="Y400" s="11">
        <f>IF(C400="","",IF(A400="","Falta periodo",IF(COUNTIF(Listas!$A$2:$A$134,A400)=0,"Periodo no válido",IF(X400="","Falta valor",IF(I400="","Falta fuente: no se mostrará",IF(AND(J400="",K400=""),"Sin evidencia",IF(N400&lt;&gt;"Validado","Sin validar","OK")))))))</f>
        <v/>
      </c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9" t="n"/>
      <c r="N401" s="8" t="n"/>
      <c r="O401" s="8" t="n"/>
      <c r="P401" s="9" t="n"/>
      <c r="Q401" s="8" t="n"/>
      <c r="R401" s="8" t="n"/>
      <c r="S401" s="8" t="n"/>
      <c r="T401" s="8" t="n"/>
      <c r="U401" s="8" t="n"/>
      <c r="V401" s="11">
        <f>IF(C401="","",IFERROR(INDEX(Catalogo!$C$5:$C$129,MATCH(C401,Catalogo!$A$5:$A$129,0)),"Código no existe"))</f>
        <v/>
      </c>
      <c r="W401" s="11">
        <f>IF(C401="","",IFERROR(INDEX(Catalogo!$G$5:$G$129,MATCH(C401,Catalogo!$A$5:$A$129,0)),""))</f>
        <v/>
      </c>
      <c r="X401" s="12">
        <f>IF(C401="","",IF(ISNUMBER(F401),F401,IF(AND(ISNUMBER(D401),ISNUMBER(E401),E401&gt;0),D401/E401*IF(W401="%",100,1),IF(ISNUMBER(D401),D401,""))))</f>
        <v/>
      </c>
      <c r="Y401" s="11">
        <f>IF(C401="","",IF(A401="","Falta periodo",IF(COUNTIF(Listas!$A$2:$A$134,A401)=0,"Periodo no válido",IF(X401="","Falta valor",IF(I401="","Falta fuente: no se mostrará",IF(AND(J401="",K401=""),"Sin evidencia",IF(N401&lt;&gt;"Validado","Sin validar","OK")))))))</f>
        <v/>
      </c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9" t="n"/>
      <c r="N402" s="8" t="n"/>
      <c r="O402" s="8" t="n"/>
      <c r="P402" s="9" t="n"/>
      <c r="Q402" s="8" t="n"/>
      <c r="R402" s="8" t="n"/>
      <c r="S402" s="8" t="n"/>
      <c r="T402" s="8" t="n"/>
      <c r="U402" s="8" t="n"/>
      <c r="V402" s="11">
        <f>IF(C402="","",IFERROR(INDEX(Catalogo!$C$5:$C$129,MATCH(C402,Catalogo!$A$5:$A$129,0)),"Código no existe"))</f>
        <v/>
      </c>
      <c r="W402" s="11">
        <f>IF(C402="","",IFERROR(INDEX(Catalogo!$G$5:$G$129,MATCH(C402,Catalogo!$A$5:$A$129,0)),""))</f>
        <v/>
      </c>
      <c r="X402" s="12">
        <f>IF(C402="","",IF(ISNUMBER(F402),F402,IF(AND(ISNUMBER(D402),ISNUMBER(E402),E402&gt;0),D402/E402*IF(W402="%",100,1),IF(ISNUMBER(D402),D402,""))))</f>
        <v/>
      </c>
      <c r="Y402" s="11">
        <f>IF(C402="","",IF(A402="","Falta periodo",IF(COUNTIF(Listas!$A$2:$A$134,A402)=0,"Periodo no válido",IF(X402="","Falta valor",IF(I402="","Falta fuente: no se mostrará",IF(AND(J402="",K402=""),"Sin evidencia",IF(N402&lt;&gt;"Validado","Sin validar","OK")))))))</f>
        <v/>
      </c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9" t="n"/>
      <c r="N403" s="8" t="n"/>
      <c r="O403" s="8" t="n"/>
      <c r="P403" s="9" t="n"/>
      <c r="Q403" s="8" t="n"/>
      <c r="R403" s="8" t="n"/>
      <c r="S403" s="8" t="n"/>
      <c r="T403" s="8" t="n"/>
      <c r="U403" s="8" t="n"/>
      <c r="V403" s="11">
        <f>IF(C403="","",IFERROR(INDEX(Catalogo!$C$5:$C$129,MATCH(C403,Catalogo!$A$5:$A$129,0)),"Código no existe"))</f>
        <v/>
      </c>
      <c r="W403" s="11">
        <f>IF(C403="","",IFERROR(INDEX(Catalogo!$G$5:$G$129,MATCH(C403,Catalogo!$A$5:$A$129,0)),""))</f>
        <v/>
      </c>
      <c r="X403" s="12">
        <f>IF(C403="","",IF(ISNUMBER(F403),F403,IF(AND(ISNUMBER(D403),ISNUMBER(E403),E403&gt;0),D403/E403*IF(W403="%",100,1),IF(ISNUMBER(D403),D403,""))))</f>
        <v/>
      </c>
      <c r="Y403" s="11">
        <f>IF(C403="","",IF(A403="","Falta periodo",IF(COUNTIF(Listas!$A$2:$A$134,A403)=0,"Periodo no válido",IF(X403="","Falta valor",IF(I403="","Falta fuente: no se mostrará",IF(AND(J403="",K403=""),"Sin evidencia",IF(N403&lt;&gt;"Validado","Sin validar","OK")))))))</f>
        <v/>
      </c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9" t="n"/>
      <c r="N404" s="8" t="n"/>
      <c r="O404" s="8" t="n"/>
      <c r="P404" s="9" t="n"/>
      <c r="Q404" s="8" t="n"/>
      <c r="R404" s="8" t="n"/>
      <c r="S404" s="8" t="n"/>
      <c r="T404" s="8" t="n"/>
      <c r="U404" s="8" t="n"/>
      <c r="V404" s="11">
        <f>IF(C404="","",IFERROR(INDEX(Catalogo!$C$5:$C$129,MATCH(C404,Catalogo!$A$5:$A$129,0)),"Código no existe"))</f>
        <v/>
      </c>
      <c r="W404" s="11">
        <f>IF(C404="","",IFERROR(INDEX(Catalogo!$G$5:$G$129,MATCH(C404,Catalogo!$A$5:$A$129,0)),""))</f>
        <v/>
      </c>
      <c r="X404" s="12">
        <f>IF(C404="","",IF(ISNUMBER(F404),F404,IF(AND(ISNUMBER(D404),ISNUMBER(E404),E404&gt;0),D404/E404*IF(W404="%",100,1),IF(ISNUMBER(D404),D404,""))))</f>
        <v/>
      </c>
      <c r="Y404" s="11">
        <f>IF(C404="","",IF(A404="","Falta periodo",IF(COUNTIF(Listas!$A$2:$A$134,A404)=0,"Periodo no válido",IF(X404="","Falta valor",IF(I404="","Falta fuente: no se mostrará",IF(AND(J404="",K404=""),"Sin evidencia",IF(N404&lt;&gt;"Validado","Sin validar","OK")))))))</f>
        <v/>
      </c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9" t="n"/>
      <c r="N405" s="8" t="n"/>
      <c r="O405" s="8" t="n"/>
      <c r="P405" s="9" t="n"/>
      <c r="Q405" s="8" t="n"/>
      <c r="R405" s="8" t="n"/>
      <c r="S405" s="8" t="n"/>
      <c r="T405" s="8" t="n"/>
      <c r="U405" s="8" t="n"/>
      <c r="V405" s="11">
        <f>IF(C405="","",IFERROR(INDEX(Catalogo!$C$5:$C$129,MATCH(C405,Catalogo!$A$5:$A$129,0)),"Código no existe"))</f>
        <v/>
      </c>
      <c r="W405" s="11">
        <f>IF(C405="","",IFERROR(INDEX(Catalogo!$G$5:$G$129,MATCH(C405,Catalogo!$A$5:$A$129,0)),""))</f>
        <v/>
      </c>
      <c r="X405" s="12">
        <f>IF(C405="","",IF(ISNUMBER(F405),F405,IF(AND(ISNUMBER(D405),ISNUMBER(E405),E405&gt;0),D405/E405*IF(W405="%",100,1),IF(ISNUMBER(D405),D405,""))))</f>
        <v/>
      </c>
      <c r="Y405" s="11">
        <f>IF(C405="","",IF(A405="","Falta periodo",IF(COUNTIF(Listas!$A$2:$A$134,A405)=0,"Periodo no válido",IF(X405="","Falta valor",IF(I405="","Falta fuente: no se mostrará",IF(AND(J405="",K405=""),"Sin evidencia",IF(N405&lt;&gt;"Validado","Sin validar","OK")))))))</f>
        <v/>
      </c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9" t="n"/>
      <c r="N406" s="8" t="n"/>
      <c r="O406" s="8" t="n"/>
      <c r="P406" s="9" t="n"/>
      <c r="Q406" s="8" t="n"/>
      <c r="R406" s="8" t="n"/>
      <c r="S406" s="8" t="n"/>
      <c r="T406" s="8" t="n"/>
      <c r="U406" s="8" t="n"/>
      <c r="V406" s="11">
        <f>IF(C406="","",IFERROR(INDEX(Catalogo!$C$5:$C$129,MATCH(C406,Catalogo!$A$5:$A$129,0)),"Código no existe"))</f>
        <v/>
      </c>
      <c r="W406" s="11">
        <f>IF(C406="","",IFERROR(INDEX(Catalogo!$G$5:$G$129,MATCH(C406,Catalogo!$A$5:$A$129,0)),""))</f>
        <v/>
      </c>
      <c r="X406" s="12">
        <f>IF(C406="","",IF(ISNUMBER(F406),F406,IF(AND(ISNUMBER(D406),ISNUMBER(E406),E406&gt;0),D406/E406*IF(W406="%",100,1),IF(ISNUMBER(D406),D406,""))))</f>
        <v/>
      </c>
      <c r="Y406" s="11">
        <f>IF(C406="","",IF(A406="","Falta periodo",IF(COUNTIF(Listas!$A$2:$A$134,A406)=0,"Periodo no válido",IF(X406="","Falta valor",IF(I406="","Falta fuente: no se mostrará",IF(AND(J406="",K406=""),"Sin evidencia",IF(N406&lt;&gt;"Validado","Sin validar","OK")))))))</f>
        <v/>
      </c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9" t="n"/>
      <c r="N407" s="8" t="n"/>
      <c r="O407" s="8" t="n"/>
      <c r="P407" s="9" t="n"/>
      <c r="Q407" s="8" t="n"/>
      <c r="R407" s="8" t="n"/>
      <c r="S407" s="8" t="n"/>
      <c r="T407" s="8" t="n"/>
      <c r="U407" s="8" t="n"/>
      <c r="V407" s="11">
        <f>IF(C407="","",IFERROR(INDEX(Catalogo!$C$5:$C$129,MATCH(C407,Catalogo!$A$5:$A$129,0)),"Código no existe"))</f>
        <v/>
      </c>
      <c r="W407" s="11">
        <f>IF(C407="","",IFERROR(INDEX(Catalogo!$G$5:$G$129,MATCH(C407,Catalogo!$A$5:$A$129,0)),""))</f>
        <v/>
      </c>
      <c r="X407" s="12">
        <f>IF(C407="","",IF(ISNUMBER(F407),F407,IF(AND(ISNUMBER(D407),ISNUMBER(E407),E407&gt;0),D407/E407*IF(W407="%",100,1),IF(ISNUMBER(D407),D407,""))))</f>
        <v/>
      </c>
      <c r="Y407" s="11">
        <f>IF(C407="","",IF(A407="","Falta periodo",IF(COUNTIF(Listas!$A$2:$A$134,A407)=0,"Periodo no válido",IF(X407="","Falta valor",IF(I407="","Falta fuente: no se mostrará",IF(AND(J407="",K407=""),"Sin evidencia",IF(N407&lt;&gt;"Validado","Sin validar","OK")))))))</f>
        <v/>
      </c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9" t="n"/>
      <c r="N408" s="8" t="n"/>
      <c r="O408" s="8" t="n"/>
      <c r="P408" s="9" t="n"/>
      <c r="Q408" s="8" t="n"/>
      <c r="R408" s="8" t="n"/>
      <c r="S408" s="8" t="n"/>
      <c r="T408" s="8" t="n"/>
      <c r="U408" s="8" t="n"/>
      <c r="V408" s="11">
        <f>IF(C408="","",IFERROR(INDEX(Catalogo!$C$5:$C$129,MATCH(C408,Catalogo!$A$5:$A$129,0)),"Código no existe"))</f>
        <v/>
      </c>
      <c r="W408" s="11">
        <f>IF(C408="","",IFERROR(INDEX(Catalogo!$G$5:$G$129,MATCH(C408,Catalogo!$A$5:$A$129,0)),""))</f>
        <v/>
      </c>
      <c r="X408" s="12">
        <f>IF(C408="","",IF(ISNUMBER(F408),F408,IF(AND(ISNUMBER(D408),ISNUMBER(E408),E408&gt;0),D408/E408*IF(W408="%",100,1),IF(ISNUMBER(D408),D408,""))))</f>
        <v/>
      </c>
      <c r="Y408" s="11">
        <f>IF(C408="","",IF(A408="","Falta periodo",IF(COUNTIF(Listas!$A$2:$A$134,A408)=0,"Periodo no válido",IF(X408="","Falta valor",IF(I408="","Falta fuente: no se mostrará",IF(AND(J408="",K408=""),"Sin evidencia",IF(N408&lt;&gt;"Validado","Sin validar","OK")))))))</f>
        <v/>
      </c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9" t="n"/>
      <c r="N409" s="8" t="n"/>
      <c r="O409" s="8" t="n"/>
      <c r="P409" s="9" t="n"/>
      <c r="Q409" s="8" t="n"/>
      <c r="R409" s="8" t="n"/>
      <c r="S409" s="8" t="n"/>
      <c r="T409" s="8" t="n"/>
      <c r="U409" s="8" t="n"/>
      <c r="V409" s="11">
        <f>IF(C409="","",IFERROR(INDEX(Catalogo!$C$5:$C$129,MATCH(C409,Catalogo!$A$5:$A$129,0)),"Código no existe"))</f>
        <v/>
      </c>
      <c r="W409" s="11">
        <f>IF(C409="","",IFERROR(INDEX(Catalogo!$G$5:$G$129,MATCH(C409,Catalogo!$A$5:$A$129,0)),""))</f>
        <v/>
      </c>
      <c r="X409" s="12">
        <f>IF(C409="","",IF(ISNUMBER(F409),F409,IF(AND(ISNUMBER(D409),ISNUMBER(E409),E409&gt;0),D409/E409*IF(W409="%",100,1),IF(ISNUMBER(D409),D409,""))))</f>
        <v/>
      </c>
      <c r="Y409" s="11">
        <f>IF(C409="","",IF(A409="","Falta periodo",IF(COUNTIF(Listas!$A$2:$A$134,A409)=0,"Periodo no válido",IF(X409="","Falta valor",IF(I409="","Falta fuente: no se mostrará",IF(AND(J409="",K409=""),"Sin evidencia",IF(N409&lt;&gt;"Validado","Sin validar","OK")))))))</f>
        <v/>
      </c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9" t="n"/>
      <c r="N410" s="8" t="n"/>
      <c r="O410" s="8" t="n"/>
      <c r="P410" s="9" t="n"/>
      <c r="Q410" s="8" t="n"/>
      <c r="R410" s="8" t="n"/>
      <c r="S410" s="8" t="n"/>
      <c r="T410" s="8" t="n"/>
      <c r="U410" s="8" t="n"/>
      <c r="V410" s="11">
        <f>IF(C410="","",IFERROR(INDEX(Catalogo!$C$5:$C$129,MATCH(C410,Catalogo!$A$5:$A$129,0)),"Código no existe"))</f>
        <v/>
      </c>
      <c r="W410" s="11">
        <f>IF(C410="","",IFERROR(INDEX(Catalogo!$G$5:$G$129,MATCH(C410,Catalogo!$A$5:$A$129,0)),""))</f>
        <v/>
      </c>
      <c r="X410" s="12">
        <f>IF(C410="","",IF(ISNUMBER(F410),F410,IF(AND(ISNUMBER(D410),ISNUMBER(E410),E410&gt;0),D410/E410*IF(W410="%",100,1),IF(ISNUMBER(D410),D410,""))))</f>
        <v/>
      </c>
      <c r="Y410" s="11">
        <f>IF(C410="","",IF(A410="","Falta periodo",IF(COUNTIF(Listas!$A$2:$A$134,A410)=0,"Periodo no válido",IF(X410="","Falta valor",IF(I410="","Falta fuente: no se mostrará",IF(AND(J410="",K410=""),"Sin evidencia",IF(N410&lt;&gt;"Validado","Sin validar","OK")))))))</f>
        <v/>
      </c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9" t="n"/>
      <c r="N411" s="8" t="n"/>
      <c r="O411" s="8" t="n"/>
      <c r="P411" s="9" t="n"/>
      <c r="Q411" s="8" t="n"/>
      <c r="R411" s="8" t="n"/>
      <c r="S411" s="8" t="n"/>
      <c r="T411" s="8" t="n"/>
      <c r="U411" s="8" t="n"/>
      <c r="V411" s="11">
        <f>IF(C411="","",IFERROR(INDEX(Catalogo!$C$5:$C$129,MATCH(C411,Catalogo!$A$5:$A$129,0)),"Código no existe"))</f>
        <v/>
      </c>
      <c r="W411" s="11">
        <f>IF(C411="","",IFERROR(INDEX(Catalogo!$G$5:$G$129,MATCH(C411,Catalogo!$A$5:$A$129,0)),""))</f>
        <v/>
      </c>
      <c r="X411" s="12">
        <f>IF(C411="","",IF(ISNUMBER(F411),F411,IF(AND(ISNUMBER(D411),ISNUMBER(E411),E411&gt;0),D411/E411*IF(W411="%",100,1),IF(ISNUMBER(D411),D411,""))))</f>
        <v/>
      </c>
      <c r="Y411" s="11">
        <f>IF(C411="","",IF(A411="","Falta periodo",IF(COUNTIF(Listas!$A$2:$A$134,A411)=0,"Periodo no válido",IF(X411="","Falta valor",IF(I411="","Falta fuente: no se mostrará",IF(AND(J411="",K411=""),"Sin evidencia",IF(N411&lt;&gt;"Validado","Sin validar","OK")))))))</f>
        <v/>
      </c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9" t="n"/>
      <c r="N412" s="8" t="n"/>
      <c r="O412" s="8" t="n"/>
      <c r="P412" s="9" t="n"/>
      <c r="Q412" s="8" t="n"/>
      <c r="R412" s="8" t="n"/>
      <c r="S412" s="8" t="n"/>
      <c r="T412" s="8" t="n"/>
      <c r="U412" s="8" t="n"/>
      <c r="V412" s="11">
        <f>IF(C412="","",IFERROR(INDEX(Catalogo!$C$5:$C$129,MATCH(C412,Catalogo!$A$5:$A$129,0)),"Código no existe"))</f>
        <v/>
      </c>
      <c r="W412" s="11">
        <f>IF(C412="","",IFERROR(INDEX(Catalogo!$G$5:$G$129,MATCH(C412,Catalogo!$A$5:$A$129,0)),""))</f>
        <v/>
      </c>
      <c r="X412" s="12">
        <f>IF(C412="","",IF(ISNUMBER(F412),F412,IF(AND(ISNUMBER(D412),ISNUMBER(E412),E412&gt;0),D412/E412*IF(W412="%",100,1),IF(ISNUMBER(D412),D412,""))))</f>
        <v/>
      </c>
      <c r="Y412" s="11">
        <f>IF(C412="","",IF(A412="","Falta periodo",IF(COUNTIF(Listas!$A$2:$A$134,A412)=0,"Periodo no válido",IF(X412="","Falta valor",IF(I412="","Falta fuente: no se mostrará",IF(AND(J412="",K412=""),"Sin evidencia",IF(N412&lt;&gt;"Validado","Sin validar","OK")))))))</f>
        <v/>
      </c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9" t="n"/>
      <c r="N413" s="8" t="n"/>
      <c r="O413" s="8" t="n"/>
      <c r="P413" s="9" t="n"/>
      <c r="Q413" s="8" t="n"/>
      <c r="R413" s="8" t="n"/>
      <c r="S413" s="8" t="n"/>
      <c r="T413" s="8" t="n"/>
      <c r="U413" s="8" t="n"/>
      <c r="V413" s="11">
        <f>IF(C413="","",IFERROR(INDEX(Catalogo!$C$5:$C$129,MATCH(C413,Catalogo!$A$5:$A$129,0)),"Código no existe"))</f>
        <v/>
      </c>
      <c r="W413" s="11">
        <f>IF(C413="","",IFERROR(INDEX(Catalogo!$G$5:$G$129,MATCH(C413,Catalogo!$A$5:$A$129,0)),""))</f>
        <v/>
      </c>
      <c r="X413" s="12">
        <f>IF(C413="","",IF(ISNUMBER(F413),F413,IF(AND(ISNUMBER(D413),ISNUMBER(E413),E413&gt;0),D413/E413*IF(W413="%",100,1),IF(ISNUMBER(D413),D413,""))))</f>
        <v/>
      </c>
      <c r="Y413" s="11">
        <f>IF(C413="","",IF(A413="","Falta periodo",IF(COUNTIF(Listas!$A$2:$A$134,A413)=0,"Periodo no válido",IF(X413="","Falta valor",IF(I413="","Falta fuente: no se mostrará",IF(AND(J413="",K413=""),"Sin evidencia",IF(N413&lt;&gt;"Validado","Sin validar","OK")))))))</f>
        <v/>
      </c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9" t="n"/>
      <c r="N414" s="8" t="n"/>
      <c r="O414" s="8" t="n"/>
      <c r="P414" s="9" t="n"/>
      <c r="Q414" s="8" t="n"/>
      <c r="R414" s="8" t="n"/>
      <c r="S414" s="8" t="n"/>
      <c r="T414" s="8" t="n"/>
      <c r="U414" s="8" t="n"/>
      <c r="V414" s="11">
        <f>IF(C414="","",IFERROR(INDEX(Catalogo!$C$5:$C$129,MATCH(C414,Catalogo!$A$5:$A$129,0)),"Código no existe"))</f>
        <v/>
      </c>
      <c r="W414" s="11">
        <f>IF(C414="","",IFERROR(INDEX(Catalogo!$G$5:$G$129,MATCH(C414,Catalogo!$A$5:$A$129,0)),""))</f>
        <v/>
      </c>
      <c r="X414" s="12">
        <f>IF(C414="","",IF(ISNUMBER(F414),F414,IF(AND(ISNUMBER(D414),ISNUMBER(E414),E414&gt;0),D414/E414*IF(W414="%",100,1),IF(ISNUMBER(D414),D414,""))))</f>
        <v/>
      </c>
      <c r="Y414" s="11">
        <f>IF(C414="","",IF(A414="","Falta periodo",IF(COUNTIF(Listas!$A$2:$A$134,A414)=0,"Periodo no válido",IF(X414="","Falta valor",IF(I414="","Falta fuente: no se mostrará",IF(AND(J414="",K414=""),"Sin evidencia",IF(N414&lt;&gt;"Validado","Sin validar","OK")))))))</f>
        <v/>
      </c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9" t="n"/>
      <c r="N415" s="8" t="n"/>
      <c r="O415" s="8" t="n"/>
      <c r="P415" s="9" t="n"/>
      <c r="Q415" s="8" t="n"/>
      <c r="R415" s="8" t="n"/>
      <c r="S415" s="8" t="n"/>
      <c r="T415" s="8" t="n"/>
      <c r="U415" s="8" t="n"/>
      <c r="V415" s="11">
        <f>IF(C415="","",IFERROR(INDEX(Catalogo!$C$5:$C$129,MATCH(C415,Catalogo!$A$5:$A$129,0)),"Código no existe"))</f>
        <v/>
      </c>
      <c r="W415" s="11">
        <f>IF(C415="","",IFERROR(INDEX(Catalogo!$G$5:$G$129,MATCH(C415,Catalogo!$A$5:$A$129,0)),""))</f>
        <v/>
      </c>
      <c r="X415" s="12">
        <f>IF(C415="","",IF(ISNUMBER(F415),F415,IF(AND(ISNUMBER(D415),ISNUMBER(E415),E415&gt;0),D415/E415*IF(W415="%",100,1),IF(ISNUMBER(D415),D415,""))))</f>
        <v/>
      </c>
      <c r="Y415" s="11">
        <f>IF(C415="","",IF(A415="","Falta periodo",IF(COUNTIF(Listas!$A$2:$A$134,A415)=0,"Periodo no válido",IF(X415="","Falta valor",IF(I415="","Falta fuente: no se mostrará",IF(AND(J415="",K415=""),"Sin evidencia",IF(N415&lt;&gt;"Validado","Sin validar","OK")))))))</f>
        <v/>
      </c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9" t="n"/>
      <c r="N416" s="8" t="n"/>
      <c r="O416" s="8" t="n"/>
      <c r="P416" s="9" t="n"/>
      <c r="Q416" s="8" t="n"/>
      <c r="R416" s="8" t="n"/>
      <c r="S416" s="8" t="n"/>
      <c r="T416" s="8" t="n"/>
      <c r="U416" s="8" t="n"/>
      <c r="V416" s="11">
        <f>IF(C416="","",IFERROR(INDEX(Catalogo!$C$5:$C$129,MATCH(C416,Catalogo!$A$5:$A$129,0)),"Código no existe"))</f>
        <v/>
      </c>
      <c r="W416" s="11">
        <f>IF(C416="","",IFERROR(INDEX(Catalogo!$G$5:$G$129,MATCH(C416,Catalogo!$A$5:$A$129,0)),""))</f>
        <v/>
      </c>
      <c r="X416" s="12">
        <f>IF(C416="","",IF(ISNUMBER(F416),F416,IF(AND(ISNUMBER(D416),ISNUMBER(E416),E416&gt;0),D416/E416*IF(W416="%",100,1),IF(ISNUMBER(D416),D416,""))))</f>
        <v/>
      </c>
      <c r="Y416" s="11">
        <f>IF(C416="","",IF(A416="","Falta periodo",IF(COUNTIF(Listas!$A$2:$A$134,A416)=0,"Periodo no válido",IF(X416="","Falta valor",IF(I416="","Falta fuente: no se mostrará",IF(AND(J416="",K416=""),"Sin evidencia",IF(N416&lt;&gt;"Validado","Sin validar","OK")))))))</f>
        <v/>
      </c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9" t="n"/>
      <c r="N417" s="8" t="n"/>
      <c r="O417" s="8" t="n"/>
      <c r="P417" s="9" t="n"/>
      <c r="Q417" s="8" t="n"/>
      <c r="R417" s="8" t="n"/>
      <c r="S417" s="8" t="n"/>
      <c r="T417" s="8" t="n"/>
      <c r="U417" s="8" t="n"/>
      <c r="V417" s="11">
        <f>IF(C417="","",IFERROR(INDEX(Catalogo!$C$5:$C$129,MATCH(C417,Catalogo!$A$5:$A$129,0)),"Código no existe"))</f>
        <v/>
      </c>
      <c r="W417" s="11">
        <f>IF(C417="","",IFERROR(INDEX(Catalogo!$G$5:$G$129,MATCH(C417,Catalogo!$A$5:$A$129,0)),""))</f>
        <v/>
      </c>
      <c r="X417" s="12">
        <f>IF(C417="","",IF(ISNUMBER(F417),F417,IF(AND(ISNUMBER(D417),ISNUMBER(E417),E417&gt;0),D417/E417*IF(W417="%",100,1),IF(ISNUMBER(D417),D417,""))))</f>
        <v/>
      </c>
      <c r="Y417" s="11">
        <f>IF(C417="","",IF(A417="","Falta periodo",IF(COUNTIF(Listas!$A$2:$A$134,A417)=0,"Periodo no válido",IF(X417="","Falta valor",IF(I417="","Falta fuente: no se mostrará",IF(AND(J417="",K417=""),"Sin evidencia",IF(N417&lt;&gt;"Validado","Sin validar","OK")))))))</f>
        <v/>
      </c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9" t="n"/>
      <c r="N418" s="8" t="n"/>
      <c r="O418" s="8" t="n"/>
      <c r="P418" s="9" t="n"/>
      <c r="Q418" s="8" t="n"/>
      <c r="R418" s="8" t="n"/>
      <c r="S418" s="8" t="n"/>
      <c r="T418" s="8" t="n"/>
      <c r="U418" s="8" t="n"/>
      <c r="V418" s="11">
        <f>IF(C418="","",IFERROR(INDEX(Catalogo!$C$5:$C$129,MATCH(C418,Catalogo!$A$5:$A$129,0)),"Código no existe"))</f>
        <v/>
      </c>
      <c r="W418" s="11">
        <f>IF(C418="","",IFERROR(INDEX(Catalogo!$G$5:$G$129,MATCH(C418,Catalogo!$A$5:$A$129,0)),""))</f>
        <v/>
      </c>
      <c r="X418" s="12">
        <f>IF(C418="","",IF(ISNUMBER(F418),F418,IF(AND(ISNUMBER(D418),ISNUMBER(E418),E418&gt;0),D418/E418*IF(W418="%",100,1),IF(ISNUMBER(D418),D418,""))))</f>
        <v/>
      </c>
      <c r="Y418" s="11">
        <f>IF(C418="","",IF(A418="","Falta periodo",IF(COUNTIF(Listas!$A$2:$A$134,A418)=0,"Periodo no válido",IF(X418="","Falta valor",IF(I418="","Falta fuente: no se mostrará",IF(AND(J418="",K418=""),"Sin evidencia",IF(N418&lt;&gt;"Validado","Sin validar","OK")))))))</f>
        <v/>
      </c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9" t="n"/>
      <c r="N419" s="8" t="n"/>
      <c r="O419" s="8" t="n"/>
      <c r="P419" s="9" t="n"/>
      <c r="Q419" s="8" t="n"/>
      <c r="R419" s="8" t="n"/>
      <c r="S419" s="8" t="n"/>
      <c r="T419" s="8" t="n"/>
      <c r="U419" s="8" t="n"/>
      <c r="V419" s="11">
        <f>IF(C419="","",IFERROR(INDEX(Catalogo!$C$5:$C$129,MATCH(C419,Catalogo!$A$5:$A$129,0)),"Código no existe"))</f>
        <v/>
      </c>
      <c r="W419" s="11">
        <f>IF(C419="","",IFERROR(INDEX(Catalogo!$G$5:$G$129,MATCH(C419,Catalogo!$A$5:$A$129,0)),""))</f>
        <v/>
      </c>
      <c r="X419" s="12">
        <f>IF(C419="","",IF(ISNUMBER(F419),F419,IF(AND(ISNUMBER(D419),ISNUMBER(E419),E419&gt;0),D419/E419*IF(W419="%",100,1),IF(ISNUMBER(D419),D419,""))))</f>
        <v/>
      </c>
      <c r="Y419" s="11">
        <f>IF(C419="","",IF(A419="","Falta periodo",IF(COUNTIF(Listas!$A$2:$A$134,A419)=0,"Periodo no válido",IF(X419="","Falta valor",IF(I419="","Falta fuente: no se mostrará",IF(AND(J419="",K419=""),"Sin evidencia",IF(N419&lt;&gt;"Validado","Sin validar","OK")))))))</f>
        <v/>
      </c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9" t="n"/>
      <c r="N420" s="8" t="n"/>
      <c r="O420" s="8" t="n"/>
      <c r="P420" s="9" t="n"/>
      <c r="Q420" s="8" t="n"/>
      <c r="R420" s="8" t="n"/>
      <c r="S420" s="8" t="n"/>
      <c r="T420" s="8" t="n"/>
      <c r="U420" s="8" t="n"/>
      <c r="V420" s="11">
        <f>IF(C420="","",IFERROR(INDEX(Catalogo!$C$5:$C$129,MATCH(C420,Catalogo!$A$5:$A$129,0)),"Código no existe"))</f>
        <v/>
      </c>
      <c r="W420" s="11">
        <f>IF(C420="","",IFERROR(INDEX(Catalogo!$G$5:$G$129,MATCH(C420,Catalogo!$A$5:$A$129,0)),""))</f>
        <v/>
      </c>
      <c r="X420" s="12">
        <f>IF(C420="","",IF(ISNUMBER(F420),F420,IF(AND(ISNUMBER(D420),ISNUMBER(E420),E420&gt;0),D420/E420*IF(W420="%",100,1),IF(ISNUMBER(D420),D420,""))))</f>
        <v/>
      </c>
      <c r="Y420" s="11">
        <f>IF(C420="","",IF(A420="","Falta periodo",IF(COUNTIF(Listas!$A$2:$A$134,A420)=0,"Periodo no válido",IF(X420="","Falta valor",IF(I420="","Falta fuente: no se mostrará",IF(AND(J420="",K420=""),"Sin evidencia",IF(N420&lt;&gt;"Validado","Sin validar","OK")))))))</f>
        <v/>
      </c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9" t="n"/>
      <c r="N421" s="8" t="n"/>
      <c r="O421" s="8" t="n"/>
      <c r="P421" s="9" t="n"/>
      <c r="Q421" s="8" t="n"/>
      <c r="R421" s="8" t="n"/>
      <c r="S421" s="8" t="n"/>
      <c r="T421" s="8" t="n"/>
      <c r="U421" s="8" t="n"/>
      <c r="V421" s="11">
        <f>IF(C421="","",IFERROR(INDEX(Catalogo!$C$5:$C$129,MATCH(C421,Catalogo!$A$5:$A$129,0)),"Código no existe"))</f>
        <v/>
      </c>
      <c r="W421" s="11">
        <f>IF(C421="","",IFERROR(INDEX(Catalogo!$G$5:$G$129,MATCH(C421,Catalogo!$A$5:$A$129,0)),""))</f>
        <v/>
      </c>
      <c r="X421" s="12">
        <f>IF(C421="","",IF(ISNUMBER(F421),F421,IF(AND(ISNUMBER(D421),ISNUMBER(E421),E421&gt;0),D421/E421*IF(W421="%",100,1),IF(ISNUMBER(D421),D421,""))))</f>
        <v/>
      </c>
      <c r="Y421" s="11">
        <f>IF(C421="","",IF(A421="","Falta periodo",IF(COUNTIF(Listas!$A$2:$A$134,A421)=0,"Periodo no válido",IF(X421="","Falta valor",IF(I421="","Falta fuente: no se mostrará",IF(AND(J421="",K421=""),"Sin evidencia",IF(N421&lt;&gt;"Validado","Sin validar","OK")))))))</f>
        <v/>
      </c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9" t="n"/>
      <c r="N422" s="8" t="n"/>
      <c r="O422" s="8" t="n"/>
      <c r="P422" s="9" t="n"/>
      <c r="Q422" s="8" t="n"/>
      <c r="R422" s="8" t="n"/>
      <c r="S422" s="8" t="n"/>
      <c r="T422" s="8" t="n"/>
      <c r="U422" s="8" t="n"/>
      <c r="V422" s="11">
        <f>IF(C422="","",IFERROR(INDEX(Catalogo!$C$5:$C$129,MATCH(C422,Catalogo!$A$5:$A$129,0)),"Código no existe"))</f>
        <v/>
      </c>
      <c r="W422" s="11">
        <f>IF(C422="","",IFERROR(INDEX(Catalogo!$G$5:$G$129,MATCH(C422,Catalogo!$A$5:$A$129,0)),""))</f>
        <v/>
      </c>
      <c r="X422" s="12">
        <f>IF(C422="","",IF(ISNUMBER(F422),F422,IF(AND(ISNUMBER(D422),ISNUMBER(E422),E422&gt;0),D422/E422*IF(W422="%",100,1),IF(ISNUMBER(D422),D422,""))))</f>
        <v/>
      </c>
      <c r="Y422" s="11">
        <f>IF(C422="","",IF(A422="","Falta periodo",IF(COUNTIF(Listas!$A$2:$A$134,A422)=0,"Periodo no válido",IF(X422="","Falta valor",IF(I422="","Falta fuente: no se mostrará",IF(AND(J422="",K422=""),"Sin evidencia",IF(N422&lt;&gt;"Validado","Sin validar","OK")))))))</f>
        <v/>
      </c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9" t="n"/>
      <c r="N423" s="8" t="n"/>
      <c r="O423" s="8" t="n"/>
      <c r="P423" s="9" t="n"/>
      <c r="Q423" s="8" t="n"/>
      <c r="R423" s="8" t="n"/>
      <c r="S423" s="8" t="n"/>
      <c r="T423" s="8" t="n"/>
      <c r="U423" s="8" t="n"/>
      <c r="V423" s="11">
        <f>IF(C423="","",IFERROR(INDEX(Catalogo!$C$5:$C$129,MATCH(C423,Catalogo!$A$5:$A$129,0)),"Código no existe"))</f>
        <v/>
      </c>
      <c r="W423" s="11">
        <f>IF(C423="","",IFERROR(INDEX(Catalogo!$G$5:$G$129,MATCH(C423,Catalogo!$A$5:$A$129,0)),""))</f>
        <v/>
      </c>
      <c r="X423" s="12">
        <f>IF(C423="","",IF(ISNUMBER(F423),F423,IF(AND(ISNUMBER(D423),ISNUMBER(E423),E423&gt;0),D423/E423*IF(W423="%",100,1),IF(ISNUMBER(D423),D423,""))))</f>
        <v/>
      </c>
      <c r="Y423" s="11">
        <f>IF(C423="","",IF(A423="","Falta periodo",IF(COUNTIF(Listas!$A$2:$A$134,A423)=0,"Periodo no válido",IF(X423="","Falta valor",IF(I423="","Falta fuente: no se mostrará",IF(AND(J423="",K423=""),"Sin evidencia",IF(N423&lt;&gt;"Validado","Sin validar","OK")))))))</f>
        <v/>
      </c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9" t="n"/>
      <c r="N424" s="8" t="n"/>
      <c r="O424" s="8" t="n"/>
      <c r="P424" s="9" t="n"/>
      <c r="Q424" s="8" t="n"/>
      <c r="R424" s="8" t="n"/>
      <c r="S424" s="8" t="n"/>
      <c r="T424" s="8" t="n"/>
      <c r="U424" s="8" t="n"/>
      <c r="V424" s="11">
        <f>IF(C424="","",IFERROR(INDEX(Catalogo!$C$5:$C$129,MATCH(C424,Catalogo!$A$5:$A$129,0)),"Código no existe"))</f>
        <v/>
      </c>
      <c r="W424" s="11">
        <f>IF(C424="","",IFERROR(INDEX(Catalogo!$G$5:$G$129,MATCH(C424,Catalogo!$A$5:$A$129,0)),""))</f>
        <v/>
      </c>
      <c r="X424" s="12">
        <f>IF(C424="","",IF(ISNUMBER(F424),F424,IF(AND(ISNUMBER(D424),ISNUMBER(E424),E424&gt;0),D424/E424*IF(W424="%",100,1),IF(ISNUMBER(D424),D424,""))))</f>
        <v/>
      </c>
      <c r="Y424" s="11">
        <f>IF(C424="","",IF(A424="","Falta periodo",IF(COUNTIF(Listas!$A$2:$A$134,A424)=0,"Periodo no válido",IF(X424="","Falta valor",IF(I424="","Falta fuente: no se mostrará",IF(AND(J424="",K424=""),"Sin evidencia",IF(N424&lt;&gt;"Validado","Sin validar","OK")))))))</f>
        <v/>
      </c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9" t="n"/>
      <c r="N425" s="8" t="n"/>
      <c r="O425" s="8" t="n"/>
      <c r="P425" s="9" t="n"/>
      <c r="Q425" s="8" t="n"/>
      <c r="R425" s="8" t="n"/>
      <c r="S425" s="8" t="n"/>
      <c r="T425" s="8" t="n"/>
      <c r="U425" s="8" t="n"/>
      <c r="V425" s="11">
        <f>IF(C425="","",IFERROR(INDEX(Catalogo!$C$5:$C$129,MATCH(C425,Catalogo!$A$5:$A$129,0)),"Código no existe"))</f>
        <v/>
      </c>
      <c r="W425" s="11">
        <f>IF(C425="","",IFERROR(INDEX(Catalogo!$G$5:$G$129,MATCH(C425,Catalogo!$A$5:$A$129,0)),""))</f>
        <v/>
      </c>
      <c r="X425" s="12">
        <f>IF(C425="","",IF(ISNUMBER(F425),F425,IF(AND(ISNUMBER(D425),ISNUMBER(E425),E425&gt;0),D425/E425*IF(W425="%",100,1),IF(ISNUMBER(D425),D425,""))))</f>
        <v/>
      </c>
      <c r="Y425" s="11">
        <f>IF(C425="","",IF(A425="","Falta periodo",IF(COUNTIF(Listas!$A$2:$A$134,A425)=0,"Periodo no válido",IF(X425="","Falta valor",IF(I425="","Falta fuente: no se mostrará",IF(AND(J425="",K425=""),"Sin evidencia",IF(N425&lt;&gt;"Validado","Sin validar","OK")))))))</f>
        <v/>
      </c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9" t="n"/>
      <c r="N426" s="8" t="n"/>
      <c r="O426" s="8" t="n"/>
      <c r="P426" s="9" t="n"/>
      <c r="Q426" s="8" t="n"/>
      <c r="R426" s="8" t="n"/>
      <c r="S426" s="8" t="n"/>
      <c r="T426" s="8" t="n"/>
      <c r="U426" s="8" t="n"/>
      <c r="V426" s="11">
        <f>IF(C426="","",IFERROR(INDEX(Catalogo!$C$5:$C$129,MATCH(C426,Catalogo!$A$5:$A$129,0)),"Código no existe"))</f>
        <v/>
      </c>
      <c r="W426" s="11">
        <f>IF(C426="","",IFERROR(INDEX(Catalogo!$G$5:$G$129,MATCH(C426,Catalogo!$A$5:$A$129,0)),""))</f>
        <v/>
      </c>
      <c r="X426" s="12">
        <f>IF(C426="","",IF(ISNUMBER(F426),F426,IF(AND(ISNUMBER(D426),ISNUMBER(E426),E426&gt;0),D426/E426*IF(W426="%",100,1),IF(ISNUMBER(D426),D426,""))))</f>
        <v/>
      </c>
      <c r="Y426" s="11">
        <f>IF(C426="","",IF(A426="","Falta periodo",IF(COUNTIF(Listas!$A$2:$A$134,A426)=0,"Periodo no válido",IF(X426="","Falta valor",IF(I426="","Falta fuente: no se mostrará",IF(AND(J426="",K426=""),"Sin evidencia",IF(N426&lt;&gt;"Validado","Sin validar","OK")))))))</f>
        <v/>
      </c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9" t="n"/>
      <c r="N427" s="8" t="n"/>
      <c r="O427" s="8" t="n"/>
      <c r="P427" s="9" t="n"/>
      <c r="Q427" s="8" t="n"/>
      <c r="R427" s="8" t="n"/>
      <c r="S427" s="8" t="n"/>
      <c r="T427" s="8" t="n"/>
      <c r="U427" s="8" t="n"/>
      <c r="V427" s="11">
        <f>IF(C427="","",IFERROR(INDEX(Catalogo!$C$5:$C$129,MATCH(C427,Catalogo!$A$5:$A$129,0)),"Código no existe"))</f>
        <v/>
      </c>
      <c r="W427" s="11">
        <f>IF(C427="","",IFERROR(INDEX(Catalogo!$G$5:$G$129,MATCH(C427,Catalogo!$A$5:$A$129,0)),""))</f>
        <v/>
      </c>
      <c r="X427" s="12">
        <f>IF(C427="","",IF(ISNUMBER(F427),F427,IF(AND(ISNUMBER(D427),ISNUMBER(E427),E427&gt;0),D427/E427*IF(W427="%",100,1),IF(ISNUMBER(D427),D427,""))))</f>
        <v/>
      </c>
      <c r="Y427" s="11">
        <f>IF(C427="","",IF(A427="","Falta periodo",IF(COUNTIF(Listas!$A$2:$A$134,A427)=0,"Periodo no válido",IF(X427="","Falta valor",IF(I427="","Falta fuente: no se mostrará",IF(AND(J427="",K427=""),"Sin evidencia",IF(N427&lt;&gt;"Validado","Sin validar","OK")))))))</f>
        <v/>
      </c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9" t="n"/>
      <c r="N428" s="8" t="n"/>
      <c r="O428" s="8" t="n"/>
      <c r="P428" s="9" t="n"/>
      <c r="Q428" s="8" t="n"/>
      <c r="R428" s="8" t="n"/>
      <c r="S428" s="8" t="n"/>
      <c r="T428" s="8" t="n"/>
      <c r="U428" s="8" t="n"/>
      <c r="V428" s="11">
        <f>IF(C428="","",IFERROR(INDEX(Catalogo!$C$5:$C$129,MATCH(C428,Catalogo!$A$5:$A$129,0)),"Código no existe"))</f>
        <v/>
      </c>
      <c r="W428" s="11">
        <f>IF(C428="","",IFERROR(INDEX(Catalogo!$G$5:$G$129,MATCH(C428,Catalogo!$A$5:$A$129,0)),""))</f>
        <v/>
      </c>
      <c r="X428" s="12">
        <f>IF(C428="","",IF(ISNUMBER(F428),F428,IF(AND(ISNUMBER(D428),ISNUMBER(E428),E428&gt;0),D428/E428*IF(W428="%",100,1),IF(ISNUMBER(D428),D428,""))))</f>
        <v/>
      </c>
      <c r="Y428" s="11">
        <f>IF(C428="","",IF(A428="","Falta periodo",IF(COUNTIF(Listas!$A$2:$A$134,A428)=0,"Periodo no válido",IF(X428="","Falta valor",IF(I428="","Falta fuente: no se mostrará",IF(AND(J428="",K428=""),"Sin evidencia",IF(N428&lt;&gt;"Validado","Sin validar","OK")))))))</f>
        <v/>
      </c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9" t="n"/>
      <c r="N429" s="8" t="n"/>
      <c r="O429" s="8" t="n"/>
      <c r="P429" s="9" t="n"/>
      <c r="Q429" s="8" t="n"/>
      <c r="R429" s="8" t="n"/>
      <c r="S429" s="8" t="n"/>
      <c r="T429" s="8" t="n"/>
      <c r="U429" s="8" t="n"/>
      <c r="V429" s="11">
        <f>IF(C429="","",IFERROR(INDEX(Catalogo!$C$5:$C$129,MATCH(C429,Catalogo!$A$5:$A$129,0)),"Código no existe"))</f>
        <v/>
      </c>
      <c r="W429" s="11">
        <f>IF(C429="","",IFERROR(INDEX(Catalogo!$G$5:$G$129,MATCH(C429,Catalogo!$A$5:$A$129,0)),""))</f>
        <v/>
      </c>
      <c r="X429" s="12">
        <f>IF(C429="","",IF(ISNUMBER(F429),F429,IF(AND(ISNUMBER(D429),ISNUMBER(E429),E429&gt;0),D429/E429*IF(W429="%",100,1),IF(ISNUMBER(D429),D429,""))))</f>
        <v/>
      </c>
      <c r="Y429" s="11">
        <f>IF(C429="","",IF(A429="","Falta periodo",IF(COUNTIF(Listas!$A$2:$A$134,A429)=0,"Periodo no válido",IF(X429="","Falta valor",IF(I429="","Falta fuente: no se mostrará",IF(AND(J429="",K429=""),"Sin evidencia",IF(N429&lt;&gt;"Validado","Sin validar","OK")))))))</f>
        <v/>
      </c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9" t="n"/>
      <c r="N430" s="8" t="n"/>
      <c r="O430" s="8" t="n"/>
      <c r="P430" s="9" t="n"/>
      <c r="Q430" s="8" t="n"/>
      <c r="R430" s="8" t="n"/>
      <c r="S430" s="8" t="n"/>
      <c r="T430" s="8" t="n"/>
      <c r="U430" s="8" t="n"/>
      <c r="V430" s="11">
        <f>IF(C430="","",IFERROR(INDEX(Catalogo!$C$5:$C$129,MATCH(C430,Catalogo!$A$5:$A$129,0)),"Código no existe"))</f>
        <v/>
      </c>
      <c r="W430" s="11">
        <f>IF(C430="","",IFERROR(INDEX(Catalogo!$G$5:$G$129,MATCH(C430,Catalogo!$A$5:$A$129,0)),""))</f>
        <v/>
      </c>
      <c r="X430" s="12">
        <f>IF(C430="","",IF(ISNUMBER(F430),F430,IF(AND(ISNUMBER(D430),ISNUMBER(E430),E430&gt;0),D430/E430*IF(W430="%",100,1),IF(ISNUMBER(D430),D430,""))))</f>
        <v/>
      </c>
      <c r="Y430" s="11">
        <f>IF(C430="","",IF(A430="","Falta periodo",IF(COUNTIF(Listas!$A$2:$A$134,A430)=0,"Periodo no válido",IF(X430="","Falta valor",IF(I430="","Falta fuente: no se mostrará",IF(AND(J430="",K430=""),"Sin evidencia",IF(N430&lt;&gt;"Validado","Sin validar","OK")))))))</f>
        <v/>
      </c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9" t="n"/>
      <c r="N431" s="8" t="n"/>
      <c r="O431" s="8" t="n"/>
      <c r="P431" s="9" t="n"/>
      <c r="Q431" s="8" t="n"/>
      <c r="R431" s="8" t="n"/>
      <c r="S431" s="8" t="n"/>
      <c r="T431" s="8" t="n"/>
      <c r="U431" s="8" t="n"/>
      <c r="V431" s="11">
        <f>IF(C431="","",IFERROR(INDEX(Catalogo!$C$5:$C$129,MATCH(C431,Catalogo!$A$5:$A$129,0)),"Código no existe"))</f>
        <v/>
      </c>
      <c r="W431" s="11">
        <f>IF(C431="","",IFERROR(INDEX(Catalogo!$G$5:$G$129,MATCH(C431,Catalogo!$A$5:$A$129,0)),""))</f>
        <v/>
      </c>
      <c r="X431" s="12">
        <f>IF(C431="","",IF(ISNUMBER(F431),F431,IF(AND(ISNUMBER(D431),ISNUMBER(E431),E431&gt;0),D431/E431*IF(W431="%",100,1),IF(ISNUMBER(D431),D431,""))))</f>
        <v/>
      </c>
      <c r="Y431" s="11">
        <f>IF(C431="","",IF(A431="","Falta periodo",IF(COUNTIF(Listas!$A$2:$A$134,A431)=0,"Periodo no válido",IF(X431="","Falta valor",IF(I431="","Falta fuente: no se mostrará",IF(AND(J431="",K431=""),"Sin evidencia",IF(N431&lt;&gt;"Validado","Sin validar","OK")))))))</f>
        <v/>
      </c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9" t="n"/>
      <c r="N432" s="8" t="n"/>
      <c r="O432" s="8" t="n"/>
      <c r="P432" s="9" t="n"/>
      <c r="Q432" s="8" t="n"/>
      <c r="R432" s="8" t="n"/>
      <c r="S432" s="8" t="n"/>
      <c r="T432" s="8" t="n"/>
      <c r="U432" s="8" t="n"/>
      <c r="V432" s="11">
        <f>IF(C432="","",IFERROR(INDEX(Catalogo!$C$5:$C$129,MATCH(C432,Catalogo!$A$5:$A$129,0)),"Código no existe"))</f>
        <v/>
      </c>
      <c r="W432" s="11">
        <f>IF(C432="","",IFERROR(INDEX(Catalogo!$G$5:$G$129,MATCH(C432,Catalogo!$A$5:$A$129,0)),""))</f>
        <v/>
      </c>
      <c r="X432" s="12">
        <f>IF(C432="","",IF(ISNUMBER(F432),F432,IF(AND(ISNUMBER(D432),ISNUMBER(E432),E432&gt;0),D432/E432*IF(W432="%",100,1),IF(ISNUMBER(D432),D432,""))))</f>
        <v/>
      </c>
      <c r="Y432" s="11">
        <f>IF(C432="","",IF(A432="","Falta periodo",IF(COUNTIF(Listas!$A$2:$A$134,A432)=0,"Periodo no válido",IF(X432="","Falta valor",IF(I432="","Falta fuente: no se mostrará",IF(AND(J432="",K432=""),"Sin evidencia",IF(N432&lt;&gt;"Validado","Sin validar","OK")))))))</f>
        <v/>
      </c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9" t="n"/>
      <c r="N433" s="8" t="n"/>
      <c r="O433" s="8" t="n"/>
      <c r="P433" s="9" t="n"/>
      <c r="Q433" s="8" t="n"/>
      <c r="R433" s="8" t="n"/>
      <c r="S433" s="8" t="n"/>
      <c r="T433" s="8" t="n"/>
      <c r="U433" s="8" t="n"/>
      <c r="V433" s="11">
        <f>IF(C433="","",IFERROR(INDEX(Catalogo!$C$5:$C$129,MATCH(C433,Catalogo!$A$5:$A$129,0)),"Código no existe"))</f>
        <v/>
      </c>
      <c r="W433" s="11">
        <f>IF(C433="","",IFERROR(INDEX(Catalogo!$G$5:$G$129,MATCH(C433,Catalogo!$A$5:$A$129,0)),""))</f>
        <v/>
      </c>
      <c r="X433" s="12">
        <f>IF(C433="","",IF(ISNUMBER(F433),F433,IF(AND(ISNUMBER(D433),ISNUMBER(E433),E433&gt;0),D433/E433*IF(W433="%",100,1),IF(ISNUMBER(D433),D433,""))))</f>
        <v/>
      </c>
      <c r="Y433" s="11">
        <f>IF(C433="","",IF(A433="","Falta periodo",IF(COUNTIF(Listas!$A$2:$A$134,A433)=0,"Periodo no válido",IF(X433="","Falta valor",IF(I433="","Falta fuente: no se mostrará",IF(AND(J433="",K433=""),"Sin evidencia",IF(N433&lt;&gt;"Validado","Sin validar","OK")))))))</f>
        <v/>
      </c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9" t="n"/>
      <c r="N434" s="8" t="n"/>
      <c r="O434" s="8" t="n"/>
      <c r="P434" s="9" t="n"/>
      <c r="Q434" s="8" t="n"/>
      <c r="R434" s="8" t="n"/>
      <c r="S434" s="8" t="n"/>
      <c r="T434" s="8" t="n"/>
      <c r="U434" s="8" t="n"/>
      <c r="V434" s="11">
        <f>IF(C434="","",IFERROR(INDEX(Catalogo!$C$5:$C$129,MATCH(C434,Catalogo!$A$5:$A$129,0)),"Código no existe"))</f>
        <v/>
      </c>
      <c r="W434" s="11">
        <f>IF(C434="","",IFERROR(INDEX(Catalogo!$G$5:$G$129,MATCH(C434,Catalogo!$A$5:$A$129,0)),""))</f>
        <v/>
      </c>
      <c r="X434" s="12">
        <f>IF(C434="","",IF(ISNUMBER(F434),F434,IF(AND(ISNUMBER(D434),ISNUMBER(E434),E434&gt;0),D434/E434*IF(W434="%",100,1),IF(ISNUMBER(D434),D434,""))))</f>
        <v/>
      </c>
      <c r="Y434" s="11">
        <f>IF(C434="","",IF(A434="","Falta periodo",IF(COUNTIF(Listas!$A$2:$A$134,A434)=0,"Periodo no válido",IF(X434="","Falta valor",IF(I434="","Falta fuente: no se mostrará",IF(AND(J434="",K434=""),"Sin evidencia",IF(N434&lt;&gt;"Validado","Sin validar","OK")))))))</f>
        <v/>
      </c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9" t="n"/>
      <c r="N435" s="8" t="n"/>
      <c r="O435" s="8" t="n"/>
      <c r="P435" s="9" t="n"/>
      <c r="Q435" s="8" t="n"/>
      <c r="R435" s="8" t="n"/>
      <c r="S435" s="8" t="n"/>
      <c r="T435" s="8" t="n"/>
      <c r="U435" s="8" t="n"/>
      <c r="V435" s="11">
        <f>IF(C435="","",IFERROR(INDEX(Catalogo!$C$5:$C$129,MATCH(C435,Catalogo!$A$5:$A$129,0)),"Código no existe"))</f>
        <v/>
      </c>
      <c r="W435" s="11">
        <f>IF(C435="","",IFERROR(INDEX(Catalogo!$G$5:$G$129,MATCH(C435,Catalogo!$A$5:$A$129,0)),""))</f>
        <v/>
      </c>
      <c r="X435" s="12">
        <f>IF(C435="","",IF(ISNUMBER(F435),F435,IF(AND(ISNUMBER(D435),ISNUMBER(E435),E435&gt;0),D435/E435*IF(W435="%",100,1),IF(ISNUMBER(D435),D435,""))))</f>
        <v/>
      </c>
      <c r="Y435" s="11">
        <f>IF(C435="","",IF(A435="","Falta periodo",IF(COUNTIF(Listas!$A$2:$A$134,A435)=0,"Periodo no válido",IF(X435="","Falta valor",IF(I435="","Falta fuente: no se mostrará",IF(AND(J435="",K435=""),"Sin evidencia",IF(N435&lt;&gt;"Validado","Sin validar","OK")))))))</f>
        <v/>
      </c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9" t="n"/>
      <c r="N436" s="8" t="n"/>
      <c r="O436" s="8" t="n"/>
      <c r="P436" s="9" t="n"/>
      <c r="Q436" s="8" t="n"/>
      <c r="R436" s="8" t="n"/>
      <c r="S436" s="8" t="n"/>
      <c r="T436" s="8" t="n"/>
      <c r="U436" s="8" t="n"/>
      <c r="V436" s="11">
        <f>IF(C436="","",IFERROR(INDEX(Catalogo!$C$5:$C$129,MATCH(C436,Catalogo!$A$5:$A$129,0)),"Código no existe"))</f>
        <v/>
      </c>
      <c r="W436" s="11">
        <f>IF(C436="","",IFERROR(INDEX(Catalogo!$G$5:$G$129,MATCH(C436,Catalogo!$A$5:$A$129,0)),""))</f>
        <v/>
      </c>
      <c r="X436" s="12">
        <f>IF(C436="","",IF(ISNUMBER(F436),F436,IF(AND(ISNUMBER(D436),ISNUMBER(E436),E436&gt;0),D436/E436*IF(W436="%",100,1),IF(ISNUMBER(D436),D436,""))))</f>
        <v/>
      </c>
      <c r="Y436" s="11">
        <f>IF(C436="","",IF(A436="","Falta periodo",IF(COUNTIF(Listas!$A$2:$A$134,A436)=0,"Periodo no válido",IF(X436="","Falta valor",IF(I436="","Falta fuente: no se mostrará",IF(AND(J436="",K436=""),"Sin evidencia",IF(N436&lt;&gt;"Validado","Sin validar","OK")))))))</f>
        <v/>
      </c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9" t="n"/>
      <c r="N437" s="8" t="n"/>
      <c r="O437" s="8" t="n"/>
      <c r="P437" s="9" t="n"/>
      <c r="Q437" s="8" t="n"/>
      <c r="R437" s="8" t="n"/>
      <c r="S437" s="8" t="n"/>
      <c r="T437" s="8" t="n"/>
      <c r="U437" s="8" t="n"/>
      <c r="V437" s="11">
        <f>IF(C437="","",IFERROR(INDEX(Catalogo!$C$5:$C$129,MATCH(C437,Catalogo!$A$5:$A$129,0)),"Código no existe"))</f>
        <v/>
      </c>
      <c r="W437" s="11">
        <f>IF(C437="","",IFERROR(INDEX(Catalogo!$G$5:$G$129,MATCH(C437,Catalogo!$A$5:$A$129,0)),""))</f>
        <v/>
      </c>
      <c r="X437" s="12">
        <f>IF(C437="","",IF(ISNUMBER(F437),F437,IF(AND(ISNUMBER(D437),ISNUMBER(E437),E437&gt;0),D437/E437*IF(W437="%",100,1),IF(ISNUMBER(D437),D437,""))))</f>
        <v/>
      </c>
      <c r="Y437" s="11">
        <f>IF(C437="","",IF(A437="","Falta periodo",IF(COUNTIF(Listas!$A$2:$A$134,A437)=0,"Periodo no válido",IF(X437="","Falta valor",IF(I437="","Falta fuente: no se mostrará",IF(AND(J437="",K437=""),"Sin evidencia",IF(N437&lt;&gt;"Validado","Sin validar","OK")))))))</f>
        <v/>
      </c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9" t="n"/>
      <c r="N438" s="8" t="n"/>
      <c r="O438" s="8" t="n"/>
      <c r="P438" s="9" t="n"/>
      <c r="Q438" s="8" t="n"/>
      <c r="R438" s="8" t="n"/>
      <c r="S438" s="8" t="n"/>
      <c r="T438" s="8" t="n"/>
      <c r="U438" s="8" t="n"/>
      <c r="V438" s="11">
        <f>IF(C438="","",IFERROR(INDEX(Catalogo!$C$5:$C$129,MATCH(C438,Catalogo!$A$5:$A$129,0)),"Código no existe"))</f>
        <v/>
      </c>
      <c r="W438" s="11">
        <f>IF(C438="","",IFERROR(INDEX(Catalogo!$G$5:$G$129,MATCH(C438,Catalogo!$A$5:$A$129,0)),""))</f>
        <v/>
      </c>
      <c r="X438" s="12">
        <f>IF(C438="","",IF(ISNUMBER(F438),F438,IF(AND(ISNUMBER(D438),ISNUMBER(E438),E438&gt;0),D438/E438*IF(W438="%",100,1),IF(ISNUMBER(D438),D438,""))))</f>
        <v/>
      </c>
      <c r="Y438" s="11">
        <f>IF(C438="","",IF(A438="","Falta periodo",IF(COUNTIF(Listas!$A$2:$A$134,A438)=0,"Periodo no válido",IF(X438="","Falta valor",IF(I438="","Falta fuente: no se mostrará",IF(AND(J438="",K438=""),"Sin evidencia",IF(N438&lt;&gt;"Validado","Sin validar","OK")))))))</f>
        <v/>
      </c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9" t="n"/>
      <c r="N439" s="8" t="n"/>
      <c r="O439" s="8" t="n"/>
      <c r="P439" s="9" t="n"/>
      <c r="Q439" s="8" t="n"/>
      <c r="R439" s="8" t="n"/>
      <c r="S439" s="8" t="n"/>
      <c r="T439" s="8" t="n"/>
      <c r="U439" s="8" t="n"/>
      <c r="V439" s="11">
        <f>IF(C439="","",IFERROR(INDEX(Catalogo!$C$5:$C$129,MATCH(C439,Catalogo!$A$5:$A$129,0)),"Código no existe"))</f>
        <v/>
      </c>
      <c r="W439" s="11">
        <f>IF(C439="","",IFERROR(INDEX(Catalogo!$G$5:$G$129,MATCH(C439,Catalogo!$A$5:$A$129,0)),""))</f>
        <v/>
      </c>
      <c r="X439" s="12">
        <f>IF(C439="","",IF(ISNUMBER(F439),F439,IF(AND(ISNUMBER(D439),ISNUMBER(E439),E439&gt;0),D439/E439*IF(W439="%",100,1),IF(ISNUMBER(D439),D439,""))))</f>
        <v/>
      </c>
      <c r="Y439" s="11">
        <f>IF(C439="","",IF(A439="","Falta periodo",IF(COUNTIF(Listas!$A$2:$A$134,A439)=0,"Periodo no válido",IF(X439="","Falta valor",IF(I439="","Falta fuente: no se mostrará",IF(AND(J439="",K439=""),"Sin evidencia",IF(N439&lt;&gt;"Validado","Sin validar","OK")))))))</f>
        <v/>
      </c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9" t="n"/>
      <c r="N440" s="8" t="n"/>
      <c r="O440" s="8" t="n"/>
      <c r="P440" s="9" t="n"/>
      <c r="Q440" s="8" t="n"/>
      <c r="R440" s="8" t="n"/>
      <c r="S440" s="8" t="n"/>
      <c r="T440" s="8" t="n"/>
      <c r="U440" s="8" t="n"/>
      <c r="V440" s="11">
        <f>IF(C440="","",IFERROR(INDEX(Catalogo!$C$5:$C$129,MATCH(C440,Catalogo!$A$5:$A$129,0)),"Código no existe"))</f>
        <v/>
      </c>
      <c r="W440" s="11">
        <f>IF(C440="","",IFERROR(INDEX(Catalogo!$G$5:$G$129,MATCH(C440,Catalogo!$A$5:$A$129,0)),""))</f>
        <v/>
      </c>
      <c r="X440" s="12">
        <f>IF(C440="","",IF(ISNUMBER(F440),F440,IF(AND(ISNUMBER(D440),ISNUMBER(E440),E440&gt;0),D440/E440*IF(W440="%",100,1),IF(ISNUMBER(D440),D440,""))))</f>
        <v/>
      </c>
      <c r="Y440" s="11">
        <f>IF(C440="","",IF(A440="","Falta periodo",IF(COUNTIF(Listas!$A$2:$A$134,A440)=0,"Periodo no válido",IF(X440="","Falta valor",IF(I440="","Falta fuente: no se mostrará",IF(AND(J440="",K440=""),"Sin evidencia",IF(N440&lt;&gt;"Validado","Sin validar","OK")))))))</f>
        <v/>
      </c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9" t="n"/>
      <c r="N441" s="8" t="n"/>
      <c r="O441" s="8" t="n"/>
      <c r="P441" s="9" t="n"/>
      <c r="Q441" s="8" t="n"/>
      <c r="R441" s="8" t="n"/>
      <c r="S441" s="8" t="n"/>
      <c r="T441" s="8" t="n"/>
      <c r="U441" s="8" t="n"/>
      <c r="V441" s="11">
        <f>IF(C441="","",IFERROR(INDEX(Catalogo!$C$5:$C$129,MATCH(C441,Catalogo!$A$5:$A$129,0)),"Código no existe"))</f>
        <v/>
      </c>
      <c r="W441" s="11">
        <f>IF(C441="","",IFERROR(INDEX(Catalogo!$G$5:$G$129,MATCH(C441,Catalogo!$A$5:$A$129,0)),""))</f>
        <v/>
      </c>
      <c r="X441" s="12">
        <f>IF(C441="","",IF(ISNUMBER(F441),F441,IF(AND(ISNUMBER(D441),ISNUMBER(E441),E441&gt;0),D441/E441*IF(W441="%",100,1),IF(ISNUMBER(D441),D441,""))))</f>
        <v/>
      </c>
      <c r="Y441" s="11">
        <f>IF(C441="","",IF(A441="","Falta periodo",IF(COUNTIF(Listas!$A$2:$A$134,A441)=0,"Periodo no válido",IF(X441="","Falta valor",IF(I441="","Falta fuente: no se mostrará",IF(AND(J441="",K441=""),"Sin evidencia",IF(N441&lt;&gt;"Validado","Sin validar","OK")))))))</f>
        <v/>
      </c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9" t="n"/>
      <c r="N442" s="8" t="n"/>
      <c r="O442" s="8" t="n"/>
      <c r="P442" s="9" t="n"/>
      <c r="Q442" s="8" t="n"/>
      <c r="R442" s="8" t="n"/>
      <c r="S442" s="8" t="n"/>
      <c r="T442" s="8" t="n"/>
      <c r="U442" s="8" t="n"/>
      <c r="V442" s="11">
        <f>IF(C442="","",IFERROR(INDEX(Catalogo!$C$5:$C$129,MATCH(C442,Catalogo!$A$5:$A$129,0)),"Código no existe"))</f>
        <v/>
      </c>
      <c r="W442" s="11">
        <f>IF(C442="","",IFERROR(INDEX(Catalogo!$G$5:$G$129,MATCH(C442,Catalogo!$A$5:$A$129,0)),""))</f>
        <v/>
      </c>
      <c r="X442" s="12">
        <f>IF(C442="","",IF(ISNUMBER(F442),F442,IF(AND(ISNUMBER(D442),ISNUMBER(E442),E442&gt;0),D442/E442*IF(W442="%",100,1),IF(ISNUMBER(D442),D442,""))))</f>
        <v/>
      </c>
      <c r="Y442" s="11">
        <f>IF(C442="","",IF(A442="","Falta periodo",IF(COUNTIF(Listas!$A$2:$A$134,A442)=0,"Periodo no válido",IF(X442="","Falta valor",IF(I442="","Falta fuente: no se mostrará",IF(AND(J442="",K442=""),"Sin evidencia",IF(N442&lt;&gt;"Validado","Sin validar","OK")))))))</f>
        <v/>
      </c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9" t="n"/>
      <c r="N443" s="8" t="n"/>
      <c r="O443" s="8" t="n"/>
      <c r="P443" s="9" t="n"/>
      <c r="Q443" s="8" t="n"/>
      <c r="R443" s="8" t="n"/>
      <c r="S443" s="8" t="n"/>
      <c r="T443" s="8" t="n"/>
      <c r="U443" s="8" t="n"/>
      <c r="V443" s="11">
        <f>IF(C443="","",IFERROR(INDEX(Catalogo!$C$5:$C$129,MATCH(C443,Catalogo!$A$5:$A$129,0)),"Código no existe"))</f>
        <v/>
      </c>
      <c r="W443" s="11">
        <f>IF(C443="","",IFERROR(INDEX(Catalogo!$G$5:$G$129,MATCH(C443,Catalogo!$A$5:$A$129,0)),""))</f>
        <v/>
      </c>
      <c r="X443" s="12">
        <f>IF(C443="","",IF(ISNUMBER(F443),F443,IF(AND(ISNUMBER(D443),ISNUMBER(E443),E443&gt;0),D443/E443*IF(W443="%",100,1),IF(ISNUMBER(D443),D443,""))))</f>
        <v/>
      </c>
      <c r="Y443" s="11">
        <f>IF(C443="","",IF(A443="","Falta periodo",IF(COUNTIF(Listas!$A$2:$A$134,A443)=0,"Periodo no válido",IF(X443="","Falta valor",IF(I443="","Falta fuente: no se mostrará",IF(AND(J443="",K443=""),"Sin evidencia",IF(N443&lt;&gt;"Validado","Sin validar","OK")))))))</f>
        <v/>
      </c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9" t="n"/>
      <c r="N444" s="8" t="n"/>
      <c r="O444" s="8" t="n"/>
      <c r="P444" s="9" t="n"/>
      <c r="Q444" s="8" t="n"/>
      <c r="R444" s="8" t="n"/>
      <c r="S444" s="8" t="n"/>
      <c r="T444" s="8" t="n"/>
      <c r="U444" s="8" t="n"/>
      <c r="V444" s="11">
        <f>IF(C444="","",IFERROR(INDEX(Catalogo!$C$5:$C$129,MATCH(C444,Catalogo!$A$5:$A$129,0)),"Código no existe"))</f>
        <v/>
      </c>
      <c r="W444" s="11">
        <f>IF(C444="","",IFERROR(INDEX(Catalogo!$G$5:$G$129,MATCH(C444,Catalogo!$A$5:$A$129,0)),""))</f>
        <v/>
      </c>
      <c r="X444" s="12">
        <f>IF(C444="","",IF(ISNUMBER(F444),F444,IF(AND(ISNUMBER(D444),ISNUMBER(E444),E444&gt;0),D444/E444*IF(W444="%",100,1),IF(ISNUMBER(D444),D444,""))))</f>
        <v/>
      </c>
      <c r="Y444" s="11">
        <f>IF(C444="","",IF(A444="","Falta periodo",IF(COUNTIF(Listas!$A$2:$A$134,A444)=0,"Periodo no válido",IF(X444="","Falta valor",IF(I444="","Falta fuente: no se mostrará",IF(AND(J444="",K444=""),"Sin evidencia",IF(N444&lt;&gt;"Validado","Sin validar","OK")))))))</f>
        <v/>
      </c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9" t="n"/>
      <c r="N445" s="8" t="n"/>
      <c r="O445" s="8" t="n"/>
      <c r="P445" s="9" t="n"/>
      <c r="Q445" s="8" t="n"/>
      <c r="R445" s="8" t="n"/>
      <c r="S445" s="8" t="n"/>
      <c r="T445" s="8" t="n"/>
      <c r="U445" s="8" t="n"/>
      <c r="V445" s="11">
        <f>IF(C445="","",IFERROR(INDEX(Catalogo!$C$5:$C$129,MATCH(C445,Catalogo!$A$5:$A$129,0)),"Código no existe"))</f>
        <v/>
      </c>
      <c r="W445" s="11">
        <f>IF(C445="","",IFERROR(INDEX(Catalogo!$G$5:$G$129,MATCH(C445,Catalogo!$A$5:$A$129,0)),""))</f>
        <v/>
      </c>
      <c r="X445" s="12">
        <f>IF(C445="","",IF(ISNUMBER(F445),F445,IF(AND(ISNUMBER(D445),ISNUMBER(E445),E445&gt;0),D445/E445*IF(W445="%",100,1),IF(ISNUMBER(D445),D445,""))))</f>
        <v/>
      </c>
      <c r="Y445" s="11">
        <f>IF(C445="","",IF(A445="","Falta periodo",IF(COUNTIF(Listas!$A$2:$A$134,A445)=0,"Periodo no válido",IF(X445="","Falta valor",IF(I445="","Falta fuente: no se mostrará",IF(AND(J445="",K445=""),"Sin evidencia",IF(N445&lt;&gt;"Validado","Sin validar","OK")))))))</f>
        <v/>
      </c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9" t="n"/>
      <c r="N446" s="8" t="n"/>
      <c r="O446" s="8" t="n"/>
      <c r="P446" s="9" t="n"/>
      <c r="Q446" s="8" t="n"/>
      <c r="R446" s="8" t="n"/>
      <c r="S446" s="8" t="n"/>
      <c r="T446" s="8" t="n"/>
      <c r="U446" s="8" t="n"/>
      <c r="V446" s="11">
        <f>IF(C446="","",IFERROR(INDEX(Catalogo!$C$5:$C$129,MATCH(C446,Catalogo!$A$5:$A$129,0)),"Código no existe"))</f>
        <v/>
      </c>
      <c r="W446" s="11">
        <f>IF(C446="","",IFERROR(INDEX(Catalogo!$G$5:$G$129,MATCH(C446,Catalogo!$A$5:$A$129,0)),""))</f>
        <v/>
      </c>
      <c r="X446" s="12">
        <f>IF(C446="","",IF(ISNUMBER(F446),F446,IF(AND(ISNUMBER(D446),ISNUMBER(E446),E446&gt;0),D446/E446*IF(W446="%",100,1),IF(ISNUMBER(D446),D446,""))))</f>
        <v/>
      </c>
      <c r="Y446" s="11">
        <f>IF(C446="","",IF(A446="","Falta periodo",IF(COUNTIF(Listas!$A$2:$A$134,A446)=0,"Periodo no válido",IF(X446="","Falta valor",IF(I446="","Falta fuente: no se mostrará",IF(AND(J446="",K446=""),"Sin evidencia",IF(N446&lt;&gt;"Validado","Sin validar","OK")))))))</f>
        <v/>
      </c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9" t="n"/>
      <c r="N447" s="8" t="n"/>
      <c r="O447" s="8" t="n"/>
      <c r="P447" s="9" t="n"/>
      <c r="Q447" s="8" t="n"/>
      <c r="R447" s="8" t="n"/>
      <c r="S447" s="8" t="n"/>
      <c r="T447" s="8" t="n"/>
      <c r="U447" s="8" t="n"/>
      <c r="V447" s="11">
        <f>IF(C447="","",IFERROR(INDEX(Catalogo!$C$5:$C$129,MATCH(C447,Catalogo!$A$5:$A$129,0)),"Código no existe"))</f>
        <v/>
      </c>
      <c r="W447" s="11">
        <f>IF(C447="","",IFERROR(INDEX(Catalogo!$G$5:$G$129,MATCH(C447,Catalogo!$A$5:$A$129,0)),""))</f>
        <v/>
      </c>
      <c r="X447" s="12">
        <f>IF(C447="","",IF(ISNUMBER(F447),F447,IF(AND(ISNUMBER(D447),ISNUMBER(E447),E447&gt;0),D447/E447*IF(W447="%",100,1),IF(ISNUMBER(D447),D447,""))))</f>
        <v/>
      </c>
      <c r="Y447" s="11">
        <f>IF(C447="","",IF(A447="","Falta periodo",IF(COUNTIF(Listas!$A$2:$A$134,A447)=0,"Periodo no válido",IF(X447="","Falta valor",IF(I447="","Falta fuente: no se mostrará",IF(AND(J447="",K447=""),"Sin evidencia",IF(N447&lt;&gt;"Validado","Sin validar","OK")))))))</f>
        <v/>
      </c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9" t="n"/>
      <c r="N448" s="8" t="n"/>
      <c r="O448" s="8" t="n"/>
      <c r="P448" s="9" t="n"/>
      <c r="Q448" s="8" t="n"/>
      <c r="R448" s="8" t="n"/>
      <c r="S448" s="8" t="n"/>
      <c r="T448" s="8" t="n"/>
      <c r="U448" s="8" t="n"/>
      <c r="V448" s="11">
        <f>IF(C448="","",IFERROR(INDEX(Catalogo!$C$5:$C$129,MATCH(C448,Catalogo!$A$5:$A$129,0)),"Código no existe"))</f>
        <v/>
      </c>
      <c r="W448" s="11">
        <f>IF(C448="","",IFERROR(INDEX(Catalogo!$G$5:$G$129,MATCH(C448,Catalogo!$A$5:$A$129,0)),""))</f>
        <v/>
      </c>
      <c r="X448" s="12">
        <f>IF(C448="","",IF(ISNUMBER(F448),F448,IF(AND(ISNUMBER(D448),ISNUMBER(E448),E448&gt;0),D448/E448*IF(W448="%",100,1),IF(ISNUMBER(D448),D448,""))))</f>
        <v/>
      </c>
      <c r="Y448" s="11">
        <f>IF(C448="","",IF(A448="","Falta periodo",IF(COUNTIF(Listas!$A$2:$A$134,A448)=0,"Periodo no válido",IF(X448="","Falta valor",IF(I448="","Falta fuente: no se mostrará",IF(AND(J448="",K448=""),"Sin evidencia",IF(N448&lt;&gt;"Validado","Sin validar","OK")))))))</f>
        <v/>
      </c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9" t="n"/>
      <c r="N449" s="8" t="n"/>
      <c r="O449" s="8" t="n"/>
      <c r="P449" s="9" t="n"/>
      <c r="Q449" s="8" t="n"/>
      <c r="R449" s="8" t="n"/>
      <c r="S449" s="8" t="n"/>
      <c r="T449" s="8" t="n"/>
      <c r="U449" s="8" t="n"/>
      <c r="V449" s="11">
        <f>IF(C449="","",IFERROR(INDEX(Catalogo!$C$5:$C$129,MATCH(C449,Catalogo!$A$5:$A$129,0)),"Código no existe"))</f>
        <v/>
      </c>
      <c r="W449" s="11">
        <f>IF(C449="","",IFERROR(INDEX(Catalogo!$G$5:$G$129,MATCH(C449,Catalogo!$A$5:$A$129,0)),""))</f>
        <v/>
      </c>
      <c r="X449" s="12">
        <f>IF(C449="","",IF(ISNUMBER(F449),F449,IF(AND(ISNUMBER(D449),ISNUMBER(E449),E449&gt;0),D449/E449*IF(W449="%",100,1),IF(ISNUMBER(D449),D449,""))))</f>
        <v/>
      </c>
      <c r="Y449" s="11">
        <f>IF(C449="","",IF(A449="","Falta periodo",IF(COUNTIF(Listas!$A$2:$A$134,A449)=0,"Periodo no válido",IF(X449="","Falta valor",IF(I449="","Falta fuente: no se mostrará",IF(AND(J449="",K449=""),"Sin evidencia",IF(N449&lt;&gt;"Validado","Sin validar","OK")))))))</f>
        <v/>
      </c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9" t="n"/>
      <c r="N450" s="8" t="n"/>
      <c r="O450" s="8" t="n"/>
      <c r="P450" s="9" t="n"/>
      <c r="Q450" s="8" t="n"/>
      <c r="R450" s="8" t="n"/>
      <c r="S450" s="8" t="n"/>
      <c r="T450" s="8" t="n"/>
      <c r="U450" s="8" t="n"/>
      <c r="V450" s="11">
        <f>IF(C450="","",IFERROR(INDEX(Catalogo!$C$5:$C$129,MATCH(C450,Catalogo!$A$5:$A$129,0)),"Código no existe"))</f>
        <v/>
      </c>
      <c r="W450" s="11">
        <f>IF(C450="","",IFERROR(INDEX(Catalogo!$G$5:$G$129,MATCH(C450,Catalogo!$A$5:$A$129,0)),""))</f>
        <v/>
      </c>
      <c r="X450" s="12">
        <f>IF(C450="","",IF(ISNUMBER(F450),F450,IF(AND(ISNUMBER(D450),ISNUMBER(E450),E450&gt;0),D450/E450*IF(W450="%",100,1),IF(ISNUMBER(D450),D450,""))))</f>
        <v/>
      </c>
      <c r="Y450" s="11">
        <f>IF(C450="","",IF(A450="","Falta periodo",IF(COUNTIF(Listas!$A$2:$A$134,A450)=0,"Periodo no válido",IF(X450="","Falta valor",IF(I450="","Falta fuente: no se mostrará",IF(AND(J450="",K450=""),"Sin evidencia",IF(N450&lt;&gt;"Validado","Sin validar","OK")))))))</f>
        <v/>
      </c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9" t="n"/>
      <c r="N451" s="8" t="n"/>
      <c r="O451" s="8" t="n"/>
      <c r="P451" s="9" t="n"/>
      <c r="Q451" s="8" t="n"/>
      <c r="R451" s="8" t="n"/>
      <c r="S451" s="8" t="n"/>
      <c r="T451" s="8" t="n"/>
      <c r="U451" s="8" t="n"/>
      <c r="V451" s="11">
        <f>IF(C451="","",IFERROR(INDEX(Catalogo!$C$5:$C$129,MATCH(C451,Catalogo!$A$5:$A$129,0)),"Código no existe"))</f>
        <v/>
      </c>
      <c r="W451" s="11">
        <f>IF(C451="","",IFERROR(INDEX(Catalogo!$G$5:$G$129,MATCH(C451,Catalogo!$A$5:$A$129,0)),""))</f>
        <v/>
      </c>
      <c r="X451" s="12">
        <f>IF(C451="","",IF(ISNUMBER(F451),F451,IF(AND(ISNUMBER(D451),ISNUMBER(E451),E451&gt;0),D451/E451*IF(W451="%",100,1),IF(ISNUMBER(D451),D451,""))))</f>
        <v/>
      </c>
      <c r="Y451" s="11">
        <f>IF(C451="","",IF(A451="","Falta periodo",IF(COUNTIF(Listas!$A$2:$A$134,A451)=0,"Periodo no válido",IF(X451="","Falta valor",IF(I451="","Falta fuente: no se mostrará",IF(AND(J451="",K451=""),"Sin evidencia",IF(N451&lt;&gt;"Validado","Sin validar","OK")))))))</f>
        <v/>
      </c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9" t="n"/>
      <c r="N452" s="8" t="n"/>
      <c r="O452" s="8" t="n"/>
      <c r="P452" s="9" t="n"/>
      <c r="Q452" s="8" t="n"/>
      <c r="R452" s="8" t="n"/>
      <c r="S452" s="8" t="n"/>
      <c r="T452" s="8" t="n"/>
      <c r="U452" s="8" t="n"/>
      <c r="V452" s="11">
        <f>IF(C452="","",IFERROR(INDEX(Catalogo!$C$5:$C$129,MATCH(C452,Catalogo!$A$5:$A$129,0)),"Código no existe"))</f>
        <v/>
      </c>
      <c r="W452" s="11">
        <f>IF(C452="","",IFERROR(INDEX(Catalogo!$G$5:$G$129,MATCH(C452,Catalogo!$A$5:$A$129,0)),""))</f>
        <v/>
      </c>
      <c r="X452" s="12">
        <f>IF(C452="","",IF(ISNUMBER(F452),F452,IF(AND(ISNUMBER(D452),ISNUMBER(E452),E452&gt;0),D452/E452*IF(W452="%",100,1),IF(ISNUMBER(D452),D452,""))))</f>
        <v/>
      </c>
      <c r="Y452" s="11">
        <f>IF(C452="","",IF(A452="","Falta periodo",IF(COUNTIF(Listas!$A$2:$A$134,A452)=0,"Periodo no válido",IF(X452="","Falta valor",IF(I452="","Falta fuente: no se mostrará",IF(AND(J452="",K452=""),"Sin evidencia",IF(N452&lt;&gt;"Validado","Sin validar","OK")))))))</f>
        <v/>
      </c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9" t="n"/>
      <c r="N453" s="8" t="n"/>
      <c r="O453" s="8" t="n"/>
      <c r="P453" s="9" t="n"/>
      <c r="Q453" s="8" t="n"/>
      <c r="R453" s="8" t="n"/>
      <c r="S453" s="8" t="n"/>
      <c r="T453" s="8" t="n"/>
      <c r="U453" s="8" t="n"/>
      <c r="V453" s="11">
        <f>IF(C453="","",IFERROR(INDEX(Catalogo!$C$5:$C$129,MATCH(C453,Catalogo!$A$5:$A$129,0)),"Código no existe"))</f>
        <v/>
      </c>
      <c r="W453" s="11">
        <f>IF(C453="","",IFERROR(INDEX(Catalogo!$G$5:$G$129,MATCH(C453,Catalogo!$A$5:$A$129,0)),""))</f>
        <v/>
      </c>
      <c r="X453" s="12">
        <f>IF(C453="","",IF(ISNUMBER(F453),F453,IF(AND(ISNUMBER(D453),ISNUMBER(E453),E453&gt;0),D453/E453*IF(W453="%",100,1),IF(ISNUMBER(D453),D453,""))))</f>
        <v/>
      </c>
      <c r="Y453" s="11">
        <f>IF(C453="","",IF(A453="","Falta periodo",IF(COUNTIF(Listas!$A$2:$A$134,A453)=0,"Periodo no válido",IF(X453="","Falta valor",IF(I453="","Falta fuente: no se mostrará",IF(AND(J453="",K453=""),"Sin evidencia",IF(N453&lt;&gt;"Validado","Sin validar","OK")))))))</f>
        <v/>
      </c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9" t="n"/>
      <c r="N454" s="8" t="n"/>
      <c r="O454" s="8" t="n"/>
      <c r="P454" s="9" t="n"/>
      <c r="Q454" s="8" t="n"/>
      <c r="R454" s="8" t="n"/>
      <c r="S454" s="8" t="n"/>
      <c r="T454" s="8" t="n"/>
      <c r="U454" s="8" t="n"/>
      <c r="V454" s="11">
        <f>IF(C454="","",IFERROR(INDEX(Catalogo!$C$5:$C$129,MATCH(C454,Catalogo!$A$5:$A$129,0)),"Código no existe"))</f>
        <v/>
      </c>
      <c r="W454" s="11">
        <f>IF(C454="","",IFERROR(INDEX(Catalogo!$G$5:$G$129,MATCH(C454,Catalogo!$A$5:$A$129,0)),""))</f>
        <v/>
      </c>
      <c r="X454" s="12">
        <f>IF(C454="","",IF(ISNUMBER(F454),F454,IF(AND(ISNUMBER(D454),ISNUMBER(E454),E454&gt;0),D454/E454*IF(W454="%",100,1),IF(ISNUMBER(D454),D454,""))))</f>
        <v/>
      </c>
      <c r="Y454" s="11">
        <f>IF(C454="","",IF(A454="","Falta periodo",IF(COUNTIF(Listas!$A$2:$A$134,A454)=0,"Periodo no válido",IF(X454="","Falta valor",IF(I454="","Falta fuente: no se mostrará",IF(AND(J454="",K454=""),"Sin evidencia",IF(N454&lt;&gt;"Validado","Sin validar","OK")))))))</f>
        <v/>
      </c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9" t="n"/>
      <c r="N455" s="8" t="n"/>
      <c r="O455" s="8" t="n"/>
      <c r="P455" s="9" t="n"/>
      <c r="Q455" s="8" t="n"/>
      <c r="R455" s="8" t="n"/>
      <c r="S455" s="8" t="n"/>
      <c r="T455" s="8" t="n"/>
      <c r="U455" s="8" t="n"/>
      <c r="V455" s="11">
        <f>IF(C455="","",IFERROR(INDEX(Catalogo!$C$5:$C$129,MATCH(C455,Catalogo!$A$5:$A$129,0)),"Código no existe"))</f>
        <v/>
      </c>
      <c r="W455" s="11">
        <f>IF(C455="","",IFERROR(INDEX(Catalogo!$G$5:$G$129,MATCH(C455,Catalogo!$A$5:$A$129,0)),""))</f>
        <v/>
      </c>
      <c r="X455" s="12">
        <f>IF(C455="","",IF(ISNUMBER(F455),F455,IF(AND(ISNUMBER(D455),ISNUMBER(E455),E455&gt;0),D455/E455*IF(W455="%",100,1),IF(ISNUMBER(D455),D455,""))))</f>
        <v/>
      </c>
      <c r="Y455" s="11">
        <f>IF(C455="","",IF(A455="","Falta periodo",IF(COUNTIF(Listas!$A$2:$A$134,A455)=0,"Periodo no válido",IF(X455="","Falta valor",IF(I455="","Falta fuente: no se mostrará",IF(AND(J455="",K455=""),"Sin evidencia",IF(N455&lt;&gt;"Validado","Sin validar","OK")))))))</f>
        <v/>
      </c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9" t="n"/>
      <c r="N456" s="8" t="n"/>
      <c r="O456" s="8" t="n"/>
      <c r="P456" s="9" t="n"/>
      <c r="Q456" s="8" t="n"/>
      <c r="R456" s="8" t="n"/>
      <c r="S456" s="8" t="n"/>
      <c r="T456" s="8" t="n"/>
      <c r="U456" s="8" t="n"/>
      <c r="V456" s="11">
        <f>IF(C456="","",IFERROR(INDEX(Catalogo!$C$5:$C$129,MATCH(C456,Catalogo!$A$5:$A$129,0)),"Código no existe"))</f>
        <v/>
      </c>
      <c r="W456" s="11">
        <f>IF(C456="","",IFERROR(INDEX(Catalogo!$G$5:$G$129,MATCH(C456,Catalogo!$A$5:$A$129,0)),""))</f>
        <v/>
      </c>
      <c r="X456" s="12">
        <f>IF(C456="","",IF(ISNUMBER(F456),F456,IF(AND(ISNUMBER(D456),ISNUMBER(E456),E456&gt;0),D456/E456*IF(W456="%",100,1),IF(ISNUMBER(D456),D456,""))))</f>
        <v/>
      </c>
      <c r="Y456" s="11">
        <f>IF(C456="","",IF(A456="","Falta periodo",IF(COUNTIF(Listas!$A$2:$A$134,A456)=0,"Periodo no válido",IF(X456="","Falta valor",IF(I456="","Falta fuente: no se mostrará",IF(AND(J456="",K456=""),"Sin evidencia",IF(N456&lt;&gt;"Validado","Sin validar","OK")))))))</f>
        <v/>
      </c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9" t="n"/>
      <c r="N457" s="8" t="n"/>
      <c r="O457" s="8" t="n"/>
      <c r="P457" s="9" t="n"/>
      <c r="Q457" s="8" t="n"/>
      <c r="R457" s="8" t="n"/>
      <c r="S457" s="8" t="n"/>
      <c r="T457" s="8" t="n"/>
      <c r="U457" s="8" t="n"/>
      <c r="V457" s="11">
        <f>IF(C457="","",IFERROR(INDEX(Catalogo!$C$5:$C$129,MATCH(C457,Catalogo!$A$5:$A$129,0)),"Código no existe"))</f>
        <v/>
      </c>
      <c r="W457" s="11">
        <f>IF(C457="","",IFERROR(INDEX(Catalogo!$G$5:$G$129,MATCH(C457,Catalogo!$A$5:$A$129,0)),""))</f>
        <v/>
      </c>
      <c r="X457" s="12">
        <f>IF(C457="","",IF(ISNUMBER(F457),F457,IF(AND(ISNUMBER(D457),ISNUMBER(E457),E457&gt;0),D457/E457*IF(W457="%",100,1),IF(ISNUMBER(D457),D457,""))))</f>
        <v/>
      </c>
      <c r="Y457" s="11">
        <f>IF(C457="","",IF(A457="","Falta periodo",IF(COUNTIF(Listas!$A$2:$A$134,A457)=0,"Periodo no válido",IF(X457="","Falta valor",IF(I457="","Falta fuente: no se mostrará",IF(AND(J457="",K457=""),"Sin evidencia",IF(N457&lt;&gt;"Validado","Sin validar","OK")))))))</f>
        <v/>
      </c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9" t="n"/>
      <c r="N458" s="8" t="n"/>
      <c r="O458" s="8" t="n"/>
      <c r="P458" s="9" t="n"/>
      <c r="Q458" s="8" t="n"/>
      <c r="R458" s="8" t="n"/>
      <c r="S458" s="8" t="n"/>
      <c r="T458" s="8" t="n"/>
      <c r="U458" s="8" t="n"/>
      <c r="V458" s="11">
        <f>IF(C458="","",IFERROR(INDEX(Catalogo!$C$5:$C$129,MATCH(C458,Catalogo!$A$5:$A$129,0)),"Código no existe"))</f>
        <v/>
      </c>
      <c r="W458" s="11">
        <f>IF(C458="","",IFERROR(INDEX(Catalogo!$G$5:$G$129,MATCH(C458,Catalogo!$A$5:$A$129,0)),""))</f>
        <v/>
      </c>
      <c r="X458" s="12">
        <f>IF(C458="","",IF(ISNUMBER(F458),F458,IF(AND(ISNUMBER(D458),ISNUMBER(E458),E458&gt;0),D458/E458*IF(W458="%",100,1),IF(ISNUMBER(D458),D458,""))))</f>
        <v/>
      </c>
      <c r="Y458" s="11">
        <f>IF(C458="","",IF(A458="","Falta periodo",IF(COUNTIF(Listas!$A$2:$A$134,A458)=0,"Periodo no válido",IF(X458="","Falta valor",IF(I458="","Falta fuente: no se mostrará",IF(AND(J458="",K458=""),"Sin evidencia",IF(N458&lt;&gt;"Validado","Sin validar","OK")))))))</f>
        <v/>
      </c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9" t="n"/>
      <c r="N459" s="8" t="n"/>
      <c r="O459" s="8" t="n"/>
      <c r="P459" s="9" t="n"/>
      <c r="Q459" s="8" t="n"/>
      <c r="R459" s="8" t="n"/>
      <c r="S459" s="8" t="n"/>
      <c r="T459" s="8" t="n"/>
      <c r="U459" s="8" t="n"/>
      <c r="V459" s="11">
        <f>IF(C459="","",IFERROR(INDEX(Catalogo!$C$5:$C$129,MATCH(C459,Catalogo!$A$5:$A$129,0)),"Código no existe"))</f>
        <v/>
      </c>
      <c r="W459" s="11">
        <f>IF(C459="","",IFERROR(INDEX(Catalogo!$G$5:$G$129,MATCH(C459,Catalogo!$A$5:$A$129,0)),""))</f>
        <v/>
      </c>
      <c r="X459" s="12">
        <f>IF(C459="","",IF(ISNUMBER(F459),F459,IF(AND(ISNUMBER(D459),ISNUMBER(E459),E459&gt;0),D459/E459*IF(W459="%",100,1),IF(ISNUMBER(D459),D459,""))))</f>
        <v/>
      </c>
      <c r="Y459" s="11">
        <f>IF(C459="","",IF(A459="","Falta periodo",IF(COUNTIF(Listas!$A$2:$A$134,A459)=0,"Periodo no válido",IF(X459="","Falta valor",IF(I459="","Falta fuente: no se mostrará",IF(AND(J459="",K459=""),"Sin evidencia",IF(N459&lt;&gt;"Validado","Sin validar","OK")))))))</f>
        <v/>
      </c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9" t="n"/>
      <c r="N460" s="8" t="n"/>
      <c r="O460" s="8" t="n"/>
      <c r="P460" s="9" t="n"/>
      <c r="Q460" s="8" t="n"/>
      <c r="R460" s="8" t="n"/>
      <c r="S460" s="8" t="n"/>
      <c r="T460" s="8" t="n"/>
      <c r="U460" s="8" t="n"/>
      <c r="V460" s="11">
        <f>IF(C460="","",IFERROR(INDEX(Catalogo!$C$5:$C$129,MATCH(C460,Catalogo!$A$5:$A$129,0)),"Código no existe"))</f>
        <v/>
      </c>
      <c r="W460" s="11">
        <f>IF(C460="","",IFERROR(INDEX(Catalogo!$G$5:$G$129,MATCH(C460,Catalogo!$A$5:$A$129,0)),""))</f>
        <v/>
      </c>
      <c r="X460" s="12">
        <f>IF(C460="","",IF(ISNUMBER(F460),F460,IF(AND(ISNUMBER(D460),ISNUMBER(E460),E460&gt;0),D460/E460*IF(W460="%",100,1),IF(ISNUMBER(D460),D460,""))))</f>
        <v/>
      </c>
      <c r="Y460" s="11">
        <f>IF(C460="","",IF(A460="","Falta periodo",IF(COUNTIF(Listas!$A$2:$A$134,A460)=0,"Periodo no válido",IF(X460="","Falta valor",IF(I460="","Falta fuente: no se mostrará",IF(AND(J460="",K460=""),"Sin evidencia",IF(N460&lt;&gt;"Validado","Sin validar","OK")))))))</f>
        <v/>
      </c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9" t="n"/>
      <c r="N461" s="8" t="n"/>
      <c r="O461" s="8" t="n"/>
      <c r="P461" s="9" t="n"/>
      <c r="Q461" s="8" t="n"/>
      <c r="R461" s="8" t="n"/>
      <c r="S461" s="8" t="n"/>
      <c r="T461" s="8" t="n"/>
      <c r="U461" s="8" t="n"/>
      <c r="V461" s="11">
        <f>IF(C461="","",IFERROR(INDEX(Catalogo!$C$5:$C$129,MATCH(C461,Catalogo!$A$5:$A$129,0)),"Código no existe"))</f>
        <v/>
      </c>
      <c r="W461" s="11">
        <f>IF(C461="","",IFERROR(INDEX(Catalogo!$G$5:$G$129,MATCH(C461,Catalogo!$A$5:$A$129,0)),""))</f>
        <v/>
      </c>
      <c r="X461" s="12">
        <f>IF(C461="","",IF(ISNUMBER(F461),F461,IF(AND(ISNUMBER(D461),ISNUMBER(E461),E461&gt;0),D461/E461*IF(W461="%",100,1),IF(ISNUMBER(D461),D461,""))))</f>
        <v/>
      </c>
      <c r="Y461" s="11">
        <f>IF(C461="","",IF(A461="","Falta periodo",IF(COUNTIF(Listas!$A$2:$A$134,A461)=0,"Periodo no válido",IF(X461="","Falta valor",IF(I461="","Falta fuente: no se mostrará",IF(AND(J461="",K461=""),"Sin evidencia",IF(N461&lt;&gt;"Validado","Sin validar","OK")))))))</f>
        <v/>
      </c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9" t="n"/>
      <c r="N462" s="8" t="n"/>
      <c r="O462" s="8" t="n"/>
      <c r="P462" s="9" t="n"/>
      <c r="Q462" s="8" t="n"/>
      <c r="R462" s="8" t="n"/>
      <c r="S462" s="8" t="n"/>
      <c r="T462" s="8" t="n"/>
      <c r="U462" s="8" t="n"/>
      <c r="V462" s="11">
        <f>IF(C462="","",IFERROR(INDEX(Catalogo!$C$5:$C$129,MATCH(C462,Catalogo!$A$5:$A$129,0)),"Código no existe"))</f>
        <v/>
      </c>
      <c r="W462" s="11">
        <f>IF(C462="","",IFERROR(INDEX(Catalogo!$G$5:$G$129,MATCH(C462,Catalogo!$A$5:$A$129,0)),""))</f>
        <v/>
      </c>
      <c r="X462" s="12">
        <f>IF(C462="","",IF(ISNUMBER(F462),F462,IF(AND(ISNUMBER(D462),ISNUMBER(E462),E462&gt;0),D462/E462*IF(W462="%",100,1),IF(ISNUMBER(D462),D462,""))))</f>
        <v/>
      </c>
      <c r="Y462" s="11">
        <f>IF(C462="","",IF(A462="","Falta periodo",IF(COUNTIF(Listas!$A$2:$A$134,A462)=0,"Periodo no válido",IF(X462="","Falta valor",IF(I462="","Falta fuente: no se mostrará",IF(AND(J462="",K462=""),"Sin evidencia",IF(N462&lt;&gt;"Validado","Sin validar","OK")))))))</f>
        <v/>
      </c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9" t="n"/>
      <c r="N463" s="8" t="n"/>
      <c r="O463" s="8" t="n"/>
      <c r="P463" s="9" t="n"/>
      <c r="Q463" s="8" t="n"/>
      <c r="R463" s="8" t="n"/>
      <c r="S463" s="8" t="n"/>
      <c r="T463" s="8" t="n"/>
      <c r="U463" s="8" t="n"/>
      <c r="V463" s="11">
        <f>IF(C463="","",IFERROR(INDEX(Catalogo!$C$5:$C$129,MATCH(C463,Catalogo!$A$5:$A$129,0)),"Código no existe"))</f>
        <v/>
      </c>
      <c r="W463" s="11">
        <f>IF(C463="","",IFERROR(INDEX(Catalogo!$G$5:$G$129,MATCH(C463,Catalogo!$A$5:$A$129,0)),""))</f>
        <v/>
      </c>
      <c r="X463" s="12">
        <f>IF(C463="","",IF(ISNUMBER(F463),F463,IF(AND(ISNUMBER(D463),ISNUMBER(E463),E463&gt;0),D463/E463*IF(W463="%",100,1),IF(ISNUMBER(D463),D463,""))))</f>
        <v/>
      </c>
      <c r="Y463" s="11">
        <f>IF(C463="","",IF(A463="","Falta periodo",IF(COUNTIF(Listas!$A$2:$A$134,A463)=0,"Periodo no válido",IF(X463="","Falta valor",IF(I463="","Falta fuente: no se mostrará",IF(AND(J463="",K463=""),"Sin evidencia",IF(N463&lt;&gt;"Validado","Sin validar","OK")))))))</f>
        <v/>
      </c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9" t="n"/>
      <c r="N464" s="8" t="n"/>
      <c r="O464" s="8" t="n"/>
      <c r="P464" s="9" t="n"/>
      <c r="Q464" s="8" t="n"/>
      <c r="R464" s="8" t="n"/>
      <c r="S464" s="8" t="n"/>
      <c r="T464" s="8" t="n"/>
      <c r="U464" s="8" t="n"/>
      <c r="V464" s="11">
        <f>IF(C464="","",IFERROR(INDEX(Catalogo!$C$5:$C$129,MATCH(C464,Catalogo!$A$5:$A$129,0)),"Código no existe"))</f>
        <v/>
      </c>
      <c r="W464" s="11">
        <f>IF(C464="","",IFERROR(INDEX(Catalogo!$G$5:$G$129,MATCH(C464,Catalogo!$A$5:$A$129,0)),""))</f>
        <v/>
      </c>
      <c r="X464" s="12">
        <f>IF(C464="","",IF(ISNUMBER(F464),F464,IF(AND(ISNUMBER(D464),ISNUMBER(E464),E464&gt;0),D464/E464*IF(W464="%",100,1),IF(ISNUMBER(D464),D464,""))))</f>
        <v/>
      </c>
      <c r="Y464" s="11">
        <f>IF(C464="","",IF(A464="","Falta periodo",IF(COUNTIF(Listas!$A$2:$A$134,A464)=0,"Periodo no válido",IF(X464="","Falta valor",IF(I464="","Falta fuente: no se mostrará",IF(AND(J464="",K464=""),"Sin evidencia",IF(N464&lt;&gt;"Validado","Sin validar","OK")))))))</f>
        <v/>
      </c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9" t="n"/>
      <c r="N465" s="8" t="n"/>
      <c r="O465" s="8" t="n"/>
      <c r="P465" s="9" t="n"/>
      <c r="Q465" s="8" t="n"/>
      <c r="R465" s="8" t="n"/>
      <c r="S465" s="8" t="n"/>
      <c r="T465" s="8" t="n"/>
      <c r="U465" s="8" t="n"/>
      <c r="V465" s="11">
        <f>IF(C465="","",IFERROR(INDEX(Catalogo!$C$5:$C$129,MATCH(C465,Catalogo!$A$5:$A$129,0)),"Código no existe"))</f>
        <v/>
      </c>
      <c r="W465" s="11">
        <f>IF(C465="","",IFERROR(INDEX(Catalogo!$G$5:$G$129,MATCH(C465,Catalogo!$A$5:$A$129,0)),""))</f>
        <v/>
      </c>
      <c r="X465" s="12">
        <f>IF(C465="","",IF(ISNUMBER(F465),F465,IF(AND(ISNUMBER(D465),ISNUMBER(E465),E465&gt;0),D465/E465*IF(W465="%",100,1),IF(ISNUMBER(D465),D465,""))))</f>
        <v/>
      </c>
      <c r="Y465" s="11">
        <f>IF(C465="","",IF(A465="","Falta periodo",IF(COUNTIF(Listas!$A$2:$A$134,A465)=0,"Periodo no válido",IF(X465="","Falta valor",IF(I465="","Falta fuente: no se mostrará",IF(AND(J465="",K465=""),"Sin evidencia",IF(N465&lt;&gt;"Validado","Sin validar","OK")))))))</f>
        <v/>
      </c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9" t="n"/>
      <c r="N466" s="8" t="n"/>
      <c r="O466" s="8" t="n"/>
      <c r="P466" s="9" t="n"/>
      <c r="Q466" s="8" t="n"/>
      <c r="R466" s="8" t="n"/>
      <c r="S466" s="8" t="n"/>
      <c r="T466" s="8" t="n"/>
      <c r="U466" s="8" t="n"/>
      <c r="V466" s="11">
        <f>IF(C466="","",IFERROR(INDEX(Catalogo!$C$5:$C$129,MATCH(C466,Catalogo!$A$5:$A$129,0)),"Código no existe"))</f>
        <v/>
      </c>
      <c r="W466" s="11">
        <f>IF(C466="","",IFERROR(INDEX(Catalogo!$G$5:$G$129,MATCH(C466,Catalogo!$A$5:$A$129,0)),""))</f>
        <v/>
      </c>
      <c r="X466" s="12">
        <f>IF(C466="","",IF(ISNUMBER(F466),F466,IF(AND(ISNUMBER(D466),ISNUMBER(E466),E466&gt;0),D466/E466*IF(W466="%",100,1),IF(ISNUMBER(D466),D466,""))))</f>
        <v/>
      </c>
      <c r="Y466" s="11">
        <f>IF(C466="","",IF(A466="","Falta periodo",IF(COUNTIF(Listas!$A$2:$A$134,A466)=0,"Periodo no válido",IF(X466="","Falta valor",IF(I466="","Falta fuente: no se mostrará",IF(AND(J466="",K466=""),"Sin evidencia",IF(N466&lt;&gt;"Validado","Sin validar","OK")))))))</f>
        <v/>
      </c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9" t="n"/>
      <c r="N467" s="8" t="n"/>
      <c r="O467" s="8" t="n"/>
      <c r="P467" s="9" t="n"/>
      <c r="Q467" s="8" t="n"/>
      <c r="R467" s="8" t="n"/>
      <c r="S467" s="8" t="n"/>
      <c r="T467" s="8" t="n"/>
      <c r="U467" s="8" t="n"/>
      <c r="V467" s="11">
        <f>IF(C467="","",IFERROR(INDEX(Catalogo!$C$5:$C$129,MATCH(C467,Catalogo!$A$5:$A$129,0)),"Código no existe"))</f>
        <v/>
      </c>
      <c r="W467" s="11">
        <f>IF(C467="","",IFERROR(INDEX(Catalogo!$G$5:$G$129,MATCH(C467,Catalogo!$A$5:$A$129,0)),""))</f>
        <v/>
      </c>
      <c r="X467" s="12">
        <f>IF(C467="","",IF(ISNUMBER(F467),F467,IF(AND(ISNUMBER(D467),ISNUMBER(E467),E467&gt;0),D467/E467*IF(W467="%",100,1),IF(ISNUMBER(D467),D467,""))))</f>
        <v/>
      </c>
      <c r="Y467" s="11">
        <f>IF(C467="","",IF(A467="","Falta periodo",IF(COUNTIF(Listas!$A$2:$A$134,A467)=0,"Periodo no válido",IF(X467="","Falta valor",IF(I467="","Falta fuente: no se mostrará",IF(AND(J467="",K467=""),"Sin evidencia",IF(N467&lt;&gt;"Validado","Sin validar","OK")))))))</f>
        <v/>
      </c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9" t="n"/>
      <c r="N468" s="8" t="n"/>
      <c r="O468" s="8" t="n"/>
      <c r="P468" s="9" t="n"/>
      <c r="Q468" s="8" t="n"/>
      <c r="R468" s="8" t="n"/>
      <c r="S468" s="8" t="n"/>
      <c r="T468" s="8" t="n"/>
      <c r="U468" s="8" t="n"/>
      <c r="V468" s="11">
        <f>IF(C468="","",IFERROR(INDEX(Catalogo!$C$5:$C$129,MATCH(C468,Catalogo!$A$5:$A$129,0)),"Código no existe"))</f>
        <v/>
      </c>
      <c r="W468" s="11">
        <f>IF(C468="","",IFERROR(INDEX(Catalogo!$G$5:$G$129,MATCH(C468,Catalogo!$A$5:$A$129,0)),""))</f>
        <v/>
      </c>
      <c r="X468" s="12">
        <f>IF(C468="","",IF(ISNUMBER(F468),F468,IF(AND(ISNUMBER(D468),ISNUMBER(E468),E468&gt;0),D468/E468*IF(W468="%",100,1),IF(ISNUMBER(D468),D468,""))))</f>
        <v/>
      </c>
      <c r="Y468" s="11">
        <f>IF(C468="","",IF(A468="","Falta periodo",IF(COUNTIF(Listas!$A$2:$A$134,A468)=0,"Periodo no válido",IF(X468="","Falta valor",IF(I468="","Falta fuente: no se mostrará",IF(AND(J468="",K468=""),"Sin evidencia",IF(N468&lt;&gt;"Validado","Sin validar","OK")))))))</f>
        <v/>
      </c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9" t="n"/>
      <c r="N469" s="8" t="n"/>
      <c r="O469" s="8" t="n"/>
      <c r="P469" s="9" t="n"/>
      <c r="Q469" s="8" t="n"/>
      <c r="R469" s="8" t="n"/>
      <c r="S469" s="8" t="n"/>
      <c r="T469" s="8" t="n"/>
      <c r="U469" s="8" t="n"/>
      <c r="V469" s="11">
        <f>IF(C469="","",IFERROR(INDEX(Catalogo!$C$5:$C$129,MATCH(C469,Catalogo!$A$5:$A$129,0)),"Código no existe"))</f>
        <v/>
      </c>
      <c r="W469" s="11">
        <f>IF(C469="","",IFERROR(INDEX(Catalogo!$G$5:$G$129,MATCH(C469,Catalogo!$A$5:$A$129,0)),""))</f>
        <v/>
      </c>
      <c r="X469" s="12">
        <f>IF(C469="","",IF(ISNUMBER(F469),F469,IF(AND(ISNUMBER(D469),ISNUMBER(E469),E469&gt;0),D469/E469*IF(W469="%",100,1),IF(ISNUMBER(D469),D469,""))))</f>
        <v/>
      </c>
      <c r="Y469" s="11">
        <f>IF(C469="","",IF(A469="","Falta periodo",IF(COUNTIF(Listas!$A$2:$A$134,A469)=0,"Periodo no válido",IF(X469="","Falta valor",IF(I469="","Falta fuente: no se mostrará",IF(AND(J469="",K469=""),"Sin evidencia",IF(N469&lt;&gt;"Validado","Sin validar","OK")))))))</f>
        <v/>
      </c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9" t="n"/>
      <c r="N470" s="8" t="n"/>
      <c r="O470" s="8" t="n"/>
      <c r="P470" s="9" t="n"/>
      <c r="Q470" s="8" t="n"/>
      <c r="R470" s="8" t="n"/>
      <c r="S470" s="8" t="n"/>
      <c r="T470" s="8" t="n"/>
      <c r="U470" s="8" t="n"/>
      <c r="V470" s="11">
        <f>IF(C470="","",IFERROR(INDEX(Catalogo!$C$5:$C$129,MATCH(C470,Catalogo!$A$5:$A$129,0)),"Código no existe"))</f>
        <v/>
      </c>
      <c r="W470" s="11">
        <f>IF(C470="","",IFERROR(INDEX(Catalogo!$G$5:$G$129,MATCH(C470,Catalogo!$A$5:$A$129,0)),""))</f>
        <v/>
      </c>
      <c r="X470" s="12">
        <f>IF(C470="","",IF(ISNUMBER(F470),F470,IF(AND(ISNUMBER(D470),ISNUMBER(E470),E470&gt;0),D470/E470*IF(W470="%",100,1),IF(ISNUMBER(D470),D470,""))))</f>
        <v/>
      </c>
      <c r="Y470" s="11">
        <f>IF(C470="","",IF(A470="","Falta periodo",IF(COUNTIF(Listas!$A$2:$A$134,A470)=0,"Periodo no válido",IF(X470="","Falta valor",IF(I470="","Falta fuente: no se mostrará",IF(AND(J470="",K470=""),"Sin evidencia",IF(N470&lt;&gt;"Validado","Sin validar","OK")))))))</f>
        <v/>
      </c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9" t="n"/>
      <c r="N471" s="8" t="n"/>
      <c r="O471" s="8" t="n"/>
      <c r="P471" s="9" t="n"/>
      <c r="Q471" s="8" t="n"/>
      <c r="R471" s="8" t="n"/>
      <c r="S471" s="8" t="n"/>
      <c r="T471" s="8" t="n"/>
      <c r="U471" s="8" t="n"/>
      <c r="V471" s="11">
        <f>IF(C471="","",IFERROR(INDEX(Catalogo!$C$5:$C$129,MATCH(C471,Catalogo!$A$5:$A$129,0)),"Código no existe"))</f>
        <v/>
      </c>
      <c r="W471" s="11">
        <f>IF(C471="","",IFERROR(INDEX(Catalogo!$G$5:$G$129,MATCH(C471,Catalogo!$A$5:$A$129,0)),""))</f>
        <v/>
      </c>
      <c r="X471" s="12">
        <f>IF(C471="","",IF(ISNUMBER(F471),F471,IF(AND(ISNUMBER(D471),ISNUMBER(E471),E471&gt;0),D471/E471*IF(W471="%",100,1),IF(ISNUMBER(D471),D471,""))))</f>
        <v/>
      </c>
      <c r="Y471" s="11">
        <f>IF(C471="","",IF(A471="","Falta periodo",IF(COUNTIF(Listas!$A$2:$A$134,A471)=0,"Periodo no válido",IF(X471="","Falta valor",IF(I471="","Falta fuente: no se mostrará",IF(AND(J471="",K471=""),"Sin evidencia",IF(N471&lt;&gt;"Validado","Sin validar","OK")))))))</f>
        <v/>
      </c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9" t="n"/>
      <c r="N472" s="8" t="n"/>
      <c r="O472" s="8" t="n"/>
      <c r="P472" s="9" t="n"/>
      <c r="Q472" s="8" t="n"/>
      <c r="R472" s="8" t="n"/>
      <c r="S472" s="8" t="n"/>
      <c r="T472" s="8" t="n"/>
      <c r="U472" s="8" t="n"/>
      <c r="V472" s="11">
        <f>IF(C472="","",IFERROR(INDEX(Catalogo!$C$5:$C$129,MATCH(C472,Catalogo!$A$5:$A$129,0)),"Código no existe"))</f>
        <v/>
      </c>
      <c r="W472" s="11">
        <f>IF(C472="","",IFERROR(INDEX(Catalogo!$G$5:$G$129,MATCH(C472,Catalogo!$A$5:$A$129,0)),""))</f>
        <v/>
      </c>
      <c r="X472" s="12">
        <f>IF(C472="","",IF(ISNUMBER(F472),F472,IF(AND(ISNUMBER(D472),ISNUMBER(E472),E472&gt;0),D472/E472*IF(W472="%",100,1),IF(ISNUMBER(D472),D472,""))))</f>
        <v/>
      </c>
      <c r="Y472" s="11">
        <f>IF(C472="","",IF(A472="","Falta periodo",IF(COUNTIF(Listas!$A$2:$A$134,A472)=0,"Periodo no válido",IF(X472="","Falta valor",IF(I472="","Falta fuente: no se mostrará",IF(AND(J472="",K472=""),"Sin evidencia",IF(N472&lt;&gt;"Validado","Sin validar","OK")))))))</f>
        <v/>
      </c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9" t="n"/>
      <c r="N473" s="8" t="n"/>
      <c r="O473" s="8" t="n"/>
      <c r="P473" s="9" t="n"/>
      <c r="Q473" s="8" t="n"/>
      <c r="R473" s="8" t="n"/>
      <c r="S473" s="8" t="n"/>
      <c r="T473" s="8" t="n"/>
      <c r="U473" s="8" t="n"/>
      <c r="V473" s="11">
        <f>IF(C473="","",IFERROR(INDEX(Catalogo!$C$5:$C$129,MATCH(C473,Catalogo!$A$5:$A$129,0)),"Código no existe"))</f>
        <v/>
      </c>
      <c r="W473" s="11">
        <f>IF(C473="","",IFERROR(INDEX(Catalogo!$G$5:$G$129,MATCH(C473,Catalogo!$A$5:$A$129,0)),""))</f>
        <v/>
      </c>
      <c r="X473" s="12">
        <f>IF(C473="","",IF(ISNUMBER(F473),F473,IF(AND(ISNUMBER(D473),ISNUMBER(E473),E473&gt;0),D473/E473*IF(W473="%",100,1),IF(ISNUMBER(D473),D473,""))))</f>
        <v/>
      </c>
      <c r="Y473" s="11">
        <f>IF(C473="","",IF(A473="","Falta periodo",IF(COUNTIF(Listas!$A$2:$A$134,A473)=0,"Periodo no válido",IF(X473="","Falta valor",IF(I473="","Falta fuente: no se mostrará",IF(AND(J473="",K473=""),"Sin evidencia",IF(N473&lt;&gt;"Validado","Sin validar","OK")))))))</f>
        <v/>
      </c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9" t="n"/>
      <c r="N474" s="8" t="n"/>
      <c r="O474" s="8" t="n"/>
      <c r="P474" s="9" t="n"/>
      <c r="Q474" s="8" t="n"/>
      <c r="R474" s="8" t="n"/>
      <c r="S474" s="8" t="n"/>
      <c r="T474" s="8" t="n"/>
      <c r="U474" s="8" t="n"/>
      <c r="V474" s="11">
        <f>IF(C474="","",IFERROR(INDEX(Catalogo!$C$5:$C$129,MATCH(C474,Catalogo!$A$5:$A$129,0)),"Código no existe"))</f>
        <v/>
      </c>
      <c r="W474" s="11">
        <f>IF(C474="","",IFERROR(INDEX(Catalogo!$G$5:$G$129,MATCH(C474,Catalogo!$A$5:$A$129,0)),""))</f>
        <v/>
      </c>
      <c r="X474" s="12">
        <f>IF(C474="","",IF(ISNUMBER(F474),F474,IF(AND(ISNUMBER(D474),ISNUMBER(E474),E474&gt;0),D474/E474*IF(W474="%",100,1),IF(ISNUMBER(D474),D474,""))))</f>
        <v/>
      </c>
      <c r="Y474" s="11">
        <f>IF(C474="","",IF(A474="","Falta periodo",IF(COUNTIF(Listas!$A$2:$A$134,A474)=0,"Periodo no válido",IF(X474="","Falta valor",IF(I474="","Falta fuente: no se mostrará",IF(AND(J474="",K474=""),"Sin evidencia",IF(N474&lt;&gt;"Validado","Sin validar","OK")))))))</f>
        <v/>
      </c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9" t="n"/>
      <c r="N475" s="8" t="n"/>
      <c r="O475" s="8" t="n"/>
      <c r="P475" s="9" t="n"/>
      <c r="Q475" s="8" t="n"/>
      <c r="R475" s="8" t="n"/>
      <c r="S475" s="8" t="n"/>
      <c r="T475" s="8" t="n"/>
      <c r="U475" s="8" t="n"/>
      <c r="V475" s="11">
        <f>IF(C475="","",IFERROR(INDEX(Catalogo!$C$5:$C$129,MATCH(C475,Catalogo!$A$5:$A$129,0)),"Código no existe"))</f>
        <v/>
      </c>
      <c r="W475" s="11">
        <f>IF(C475="","",IFERROR(INDEX(Catalogo!$G$5:$G$129,MATCH(C475,Catalogo!$A$5:$A$129,0)),""))</f>
        <v/>
      </c>
      <c r="X475" s="12">
        <f>IF(C475="","",IF(ISNUMBER(F475),F475,IF(AND(ISNUMBER(D475),ISNUMBER(E475),E475&gt;0),D475/E475*IF(W475="%",100,1),IF(ISNUMBER(D475),D475,""))))</f>
        <v/>
      </c>
      <c r="Y475" s="11">
        <f>IF(C475="","",IF(A475="","Falta periodo",IF(COUNTIF(Listas!$A$2:$A$134,A475)=0,"Periodo no válido",IF(X475="","Falta valor",IF(I475="","Falta fuente: no se mostrará",IF(AND(J475="",K475=""),"Sin evidencia",IF(N475&lt;&gt;"Validado","Sin validar","OK")))))))</f>
        <v/>
      </c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9" t="n"/>
      <c r="N476" s="8" t="n"/>
      <c r="O476" s="8" t="n"/>
      <c r="P476" s="9" t="n"/>
      <c r="Q476" s="8" t="n"/>
      <c r="R476" s="8" t="n"/>
      <c r="S476" s="8" t="n"/>
      <c r="T476" s="8" t="n"/>
      <c r="U476" s="8" t="n"/>
      <c r="V476" s="11">
        <f>IF(C476="","",IFERROR(INDEX(Catalogo!$C$5:$C$129,MATCH(C476,Catalogo!$A$5:$A$129,0)),"Código no existe"))</f>
        <v/>
      </c>
      <c r="W476" s="11">
        <f>IF(C476="","",IFERROR(INDEX(Catalogo!$G$5:$G$129,MATCH(C476,Catalogo!$A$5:$A$129,0)),""))</f>
        <v/>
      </c>
      <c r="X476" s="12">
        <f>IF(C476="","",IF(ISNUMBER(F476),F476,IF(AND(ISNUMBER(D476),ISNUMBER(E476),E476&gt;0),D476/E476*IF(W476="%",100,1),IF(ISNUMBER(D476),D476,""))))</f>
        <v/>
      </c>
      <c r="Y476" s="11">
        <f>IF(C476="","",IF(A476="","Falta periodo",IF(COUNTIF(Listas!$A$2:$A$134,A476)=0,"Periodo no válido",IF(X476="","Falta valor",IF(I476="","Falta fuente: no se mostrará",IF(AND(J476="",K476=""),"Sin evidencia",IF(N476&lt;&gt;"Validado","Sin validar","OK")))))))</f>
        <v/>
      </c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9" t="n"/>
      <c r="N477" s="8" t="n"/>
      <c r="O477" s="8" t="n"/>
      <c r="P477" s="9" t="n"/>
      <c r="Q477" s="8" t="n"/>
      <c r="R477" s="8" t="n"/>
      <c r="S477" s="8" t="n"/>
      <c r="T477" s="8" t="n"/>
      <c r="U477" s="8" t="n"/>
      <c r="V477" s="11">
        <f>IF(C477="","",IFERROR(INDEX(Catalogo!$C$5:$C$129,MATCH(C477,Catalogo!$A$5:$A$129,0)),"Código no existe"))</f>
        <v/>
      </c>
      <c r="W477" s="11">
        <f>IF(C477="","",IFERROR(INDEX(Catalogo!$G$5:$G$129,MATCH(C477,Catalogo!$A$5:$A$129,0)),""))</f>
        <v/>
      </c>
      <c r="X477" s="12">
        <f>IF(C477="","",IF(ISNUMBER(F477),F477,IF(AND(ISNUMBER(D477),ISNUMBER(E477),E477&gt;0),D477/E477*IF(W477="%",100,1),IF(ISNUMBER(D477),D477,""))))</f>
        <v/>
      </c>
      <c r="Y477" s="11">
        <f>IF(C477="","",IF(A477="","Falta periodo",IF(COUNTIF(Listas!$A$2:$A$134,A477)=0,"Periodo no válido",IF(X477="","Falta valor",IF(I477="","Falta fuente: no se mostrará",IF(AND(J477="",K477=""),"Sin evidencia",IF(N477&lt;&gt;"Validado","Sin validar","OK")))))))</f>
        <v/>
      </c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9" t="n"/>
      <c r="N478" s="8" t="n"/>
      <c r="O478" s="8" t="n"/>
      <c r="P478" s="9" t="n"/>
      <c r="Q478" s="8" t="n"/>
      <c r="R478" s="8" t="n"/>
      <c r="S478" s="8" t="n"/>
      <c r="T478" s="8" t="n"/>
      <c r="U478" s="8" t="n"/>
      <c r="V478" s="11">
        <f>IF(C478="","",IFERROR(INDEX(Catalogo!$C$5:$C$129,MATCH(C478,Catalogo!$A$5:$A$129,0)),"Código no existe"))</f>
        <v/>
      </c>
      <c r="W478" s="11">
        <f>IF(C478="","",IFERROR(INDEX(Catalogo!$G$5:$G$129,MATCH(C478,Catalogo!$A$5:$A$129,0)),""))</f>
        <v/>
      </c>
      <c r="X478" s="12">
        <f>IF(C478="","",IF(ISNUMBER(F478),F478,IF(AND(ISNUMBER(D478),ISNUMBER(E478),E478&gt;0),D478/E478*IF(W478="%",100,1),IF(ISNUMBER(D478),D478,""))))</f>
        <v/>
      </c>
      <c r="Y478" s="11">
        <f>IF(C478="","",IF(A478="","Falta periodo",IF(COUNTIF(Listas!$A$2:$A$134,A478)=0,"Periodo no válido",IF(X478="","Falta valor",IF(I478="","Falta fuente: no se mostrará",IF(AND(J478="",K478=""),"Sin evidencia",IF(N478&lt;&gt;"Validado","Sin validar","OK")))))))</f>
        <v/>
      </c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9" t="n"/>
      <c r="N479" s="8" t="n"/>
      <c r="O479" s="8" t="n"/>
      <c r="P479" s="9" t="n"/>
      <c r="Q479" s="8" t="n"/>
      <c r="R479" s="8" t="n"/>
      <c r="S479" s="8" t="n"/>
      <c r="T479" s="8" t="n"/>
      <c r="U479" s="8" t="n"/>
      <c r="V479" s="11">
        <f>IF(C479="","",IFERROR(INDEX(Catalogo!$C$5:$C$129,MATCH(C479,Catalogo!$A$5:$A$129,0)),"Código no existe"))</f>
        <v/>
      </c>
      <c r="W479" s="11">
        <f>IF(C479="","",IFERROR(INDEX(Catalogo!$G$5:$G$129,MATCH(C479,Catalogo!$A$5:$A$129,0)),""))</f>
        <v/>
      </c>
      <c r="X479" s="12">
        <f>IF(C479="","",IF(ISNUMBER(F479),F479,IF(AND(ISNUMBER(D479),ISNUMBER(E479),E479&gt;0),D479/E479*IF(W479="%",100,1),IF(ISNUMBER(D479),D479,""))))</f>
        <v/>
      </c>
      <c r="Y479" s="11">
        <f>IF(C479="","",IF(A479="","Falta periodo",IF(COUNTIF(Listas!$A$2:$A$134,A479)=0,"Periodo no válido",IF(X479="","Falta valor",IF(I479="","Falta fuente: no se mostrará",IF(AND(J479="",K479=""),"Sin evidencia",IF(N479&lt;&gt;"Validado","Sin validar","OK")))))))</f>
        <v/>
      </c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9" t="n"/>
      <c r="N480" s="8" t="n"/>
      <c r="O480" s="8" t="n"/>
      <c r="P480" s="9" t="n"/>
      <c r="Q480" s="8" t="n"/>
      <c r="R480" s="8" t="n"/>
      <c r="S480" s="8" t="n"/>
      <c r="T480" s="8" t="n"/>
      <c r="U480" s="8" t="n"/>
      <c r="V480" s="11">
        <f>IF(C480="","",IFERROR(INDEX(Catalogo!$C$5:$C$129,MATCH(C480,Catalogo!$A$5:$A$129,0)),"Código no existe"))</f>
        <v/>
      </c>
      <c r="W480" s="11">
        <f>IF(C480="","",IFERROR(INDEX(Catalogo!$G$5:$G$129,MATCH(C480,Catalogo!$A$5:$A$129,0)),""))</f>
        <v/>
      </c>
      <c r="X480" s="12">
        <f>IF(C480="","",IF(ISNUMBER(F480),F480,IF(AND(ISNUMBER(D480),ISNUMBER(E480),E480&gt;0),D480/E480*IF(W480="%",100,1),IF(ISNUMBER(D480),D480,""))))</f>
        <v/>
      </c>
      <c r="Y480" s="11">
        <f>IF(C480="","",IF(A480="","Falta periodo",IF(COUNTIF(Listas!$A$2:$A$134,A480)=0,"Periodo no válido",IF(X480="","Falta valor",IF(I480="","Falta fuente: no se mostrará",IF(AND(J480="",K480=""),"Sin evidencia",IF(N480&lt;&gt;"Validado","Sin validar","OK")))))))</f>
        <v/>
      </c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9" t="n"/>
      <c r="N481" s="8" t="n"/>
      <c r="O481" s="8" t="n"/>
      <c r="P481" s="9" t="n"/>
      <c r="Q481" s="8" t="n"/>
      <c r="R481" s="8" t="n"/>
      <c r="S481" s="8" t="n"/>
      <c r="T481" s="8" t="n"/>
      <c r="U481" s="8" t="n"/>
      <c r="V481" s="11">
        <f>IF(C481="","",IFERROR(INDEX(Catalogo!$C$5:$C$129,MATCH(C481,Catalogo!$A$5:$A$129,0)),"Código no existe"))</f>
        <v/>
      </c>
      <c r="W481" s="11">
        <f>IF(C481="","",IFERROR(INDEX(Catalogo!$G$5:$G$129,MATCH(C481,Catalogo!$A$5:$A$129,0)),""))</f>
        <v/>
      </c>
      <c r="X481" s="12">
        <f>IF(C481="","",IF(ISNUMBER(F481),F481,IF(AND(ISNUMBER(D481),ISNUMBER(E481),E481&gt;0),D481/E481*IF(W481="%",100,1),IF(ISNUMBER(D481),D481,""))))</f>
        <v/>
      </c>
      <c r="Y481" s="11">
        <f>IF(C481="","",IF(A481="","Falta periodo",IF(COUNTIF(Listas!$A$2:$A$134,A481)=0,"Periodo no válido",IF(X481="","Falta valor",IF(I481="","Falta fuente: no se mostrará",IF(AND(J481="",K481=""),"Sin evidencia",IF(N481&lt;&gt;"Validado","Sin validar","OK")))))))</f>
        <v/>
      </c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9" t="n"/>
      <c r="N482" s="8" t="n"/>
      <c r="O482" s="8" t="n"/>
      <c r="P482" s="9" t="n"/>
      <c r="Q482" s="8" t="n"/>
      <c r="R482" s="8" t="n"/>
      <c r="S482" s="8" t="n"/>
      <c r="T482" s="8" t="n"/>
      <c r="U482" s="8" t="n"/>
      <c r="V482" s="11">
        <f>IF(C482="","",IFERROR(INDEX(Catalogo!$C$5:$C$129,MATCH(C482,Catalogo!$A$5:$A$129,0)),"Código no existe"))</f>
        <v/>
      </c>
      <c r="W482" s="11">
        <f>IF(C482="","",IFERROR(INDEX(Catalogo!$G$5:$G$129,MATCH(C482,Catalogo!$A$5:$A$129,0)),""))</f>
        <v/>
      </c>
      <c r="X482" s="12">
        <f>IF(C482="","",IF(ISNUMBER(F482),F482,IF(AND(ISNUMBER(D482),ISNUMBER(E482),E482&gt;0),D482/E482*IF(W482="%",100,1),IF(ISNUMBER(D482),D482,""))))</f>
        <v/>
      </c>
      <c r="Y482" s="11">
        <f>IF(C482="","",IF(A482="","Falta periodo",IF(COUNTIF(Listas!$A$2:$A$134,A482)=0,"Periodo no válido",IF(X482="","Falta valor",IF(I482="","Falta fuente: no se mostrará",IF(AND(J482="",K482=""),"Sin evidencia",IF(N482&lt;&gt;"Validado","Sin validar","OK")))))))</f>
        <v/>
      </c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9" t="n"/>
      <c r="N483" s="8" t="n"/>
      <c r="O483" s="8" t="n"/>
      <c r="P483" s="9" t="n"/>
      <c r="Q483" s="8" t="n"/>
      <c r="R483" s="8" t="n"/>
      <c r="S483" s="8" t="n"/>
      <c r="T483" s="8" t="n"/>
      <c r="U483" s="8" t="n"/>
      <c r="V483" s="11">
        <f>IF(C483="","",IFERROR(INDEX(Catalogo!$C$5:$C$129,MATCH(C483,Catalogo!$A$5:$A$129,0)),"Código no existe"))</f>
        <v/>
      </c>
      <c r="W483" s="11">
        <f>IF(C483="","",IFERROR(INDEX(Catalogo!$G$5:$G$129,MATCH(C483,Catalogo!$A$5:$A$129,0)),""))</f>
        <v/>
      </c>
      <c r="X483" s="12">
        <f>IF(C483="","",IF(ISNUMBER(F483),F483,IF(AND(ISNUMBER(D483),ISNUMBER(E483),E483&gt;0),D483/E483*IF(W483="%",100,1),IF(ISNUMBER(D483),D483,""))))</f>
        <v/>
      </c>
      <c r="Y483" s="11">
        <f>IF(C483="","",IF(A483="","Falta periodo",IF(COUNTIF(Listas!$A$2:$A$134,A483)=0,"Periodo no válido",IF(X483="","Falta valor",IF(I483="","Falta fuente: no se mostrará",IF(AND(J483="",K483=""),"Sin evidencia",IF(N483&lt;&gt;"Validado","Sin validar","OK")))))))</f>
        <v/>
      </c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9" t="n"/>
      <c r="N484" s="8" t="n"/>
      <c r="O484" s="8" t="n"/>
      <c r="P484" s="9" t="n"/>
      <c r="Q484" s="8" t="n"/>
      <c r="R484" s="8" t="n"/>
      <c r="S484" s="8" t="n"/>
      <c r="T484" s="8" t="n"/>
      <c r="U484" s="8" t="n"/>
      <c r="V484" s="11">
        <f>IF(C484="","",IFERROR(INDEX(Catalogo!$C$5:$C$129,MATCH(C484,Catalogo!$A$5:$A$129,0)),"Código no existe"))</f>
        <v/>
      </c>
      <c r="W484" s="11">
        <f>IF(C484="","",IFERROR(INDEX(Catalogo!$G$5:$G$129,MATCH(C484,Catalogo!$A$5:$A$129,0)),""))</f>
        <v/>
      </c>
      <c r="X484" s="12">
        <f>IF(C484="","",IF(ISNUMBER(F484),F484,IF(AND(ISNUMBER(D484),ISNUMBER(E484),E484&gt;0),D484/E484*IF(W484="%",100,1),IF(ISNUMBER(D484),D484,""))))</f>
        <v/>
      </c>
      <c r="Y484" s="11">
        <f>IF(C484="","",IF(A484="","Falta periodo",IF(COUNTIF(Listas!$A$2:$A$134,A484)=0,"Periodo no válido",IF(X484="","Falta valor",IF(I484="","Falta fuente: no se mostrará",IF(AND(J484="",K484=""),"Sin evidencia",IF(N484&lt;&gt;"Validado","Sin validar","OK")))))))</f>
        <v/>
      </c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9" t="n"/>
      <c r="N485" s="8" t="n"/>
      <c r="O485" s="8" t="n"/>
      <c r="P485" s="9" t="n"/>
      <c r="Q485" s="8" t="n"/>
      <c r="R485" s="8" t="n"/>
      <c r="S485" s="8" t="n"/>
      <c r="T485" s="8" t="n"/>
      <c r="U485" s="8" t="n"/>
      <c r="V485" s="11">
        <f>IF(C485="","",IFERROR(INDEX(Catalogo!$C$5:$C$129,MATCH(C485,Catalogo!$A$5:$A$129,0)),"Código no existe"))</f>
        <v/>
      </c>
      <c r="W485" s="11">
        <f>IF(C485="","",IFERROR(INDEX(Catalogo!$G$5:$G$129,MATCH(C485,Catalogo!$A$5:$A$129,0)),""))</f>
        <v/>
      </c>
      <c r="X485" s="12">
        <f>IF(C485="","",IF(ISNUMBER(F485),F485,IF(AND(ISNUMBER(D485),ISNUMBER(E485),E485&gt;0),D485/E485*IF(W485="%",100,1),IF(ISNUMBER(D485),D485,""))))</f>
        <v/>
      </c>
      <c r="Y485" s="11">
        <f>IF(C485="","",IF(A485="","Falta periodo",IF(COUNTIF(Listas!$A$2:$A$134,A485)=0,"Periodo no válido",IF(X485="","Falta valor",IF(I485="","Falta fuente: no se mostrará",IF(AND(J485="",K485=""),"Sin evidencia",IF(N485&lt;&gt;"Validado","Sin validar","OK")))))))</f>
        <v/>
      </c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9" t="n"/>
      <c r="N486" s="8" t="n"/>
      <c r="O486" s="8" t="n"/>
      <c r="P486" s="9" t="n"/>
      <c r="Q486" s="8" t="n"/>
      <c r="R486" s="8" t="n"/>
      <c r="S486" s="8" t="n"/>
      <c r="T486" s="8" t="n"/>
      <c r="U486" s="8" t="n"/>
      <c r="V486" s="11">
        <f>IF(C486="","",IFERROR(INDEX(Catalogo!$C$5:$C$129,MATCH(C486,Catalogo!$A$5:$A$129,0)),"Código no existe"))</f>
        <v/>
      </c>
      <c r="W486" s="11">
        <f>IF(C486="","",IFERROR(INDEX(Catalogo!$G$5:$G$129,MATCH(C486,Catalogo!$A$5:$A$129,0)),""))</f>
        <v/>
      </c>
      <c r="X486" s="12">
        <f>IF(C486="","",IF(ISNUMBER(F486),F486,IF(AND(ISNUMBER(D486),ISNUMBER(E486),E486&gt;0),D486/E486*IF(W486="%",100,1),IF(ISNUMBER(D486),D486,""))))</f>
        <v/>
      </c>
      <c r="Y486" s="11">
        <f>IF(C486="","",IF(A486="","Falta periodo",IF(COUNTIF(Listas!$A$2:$A$134,A486)=0,"Periodo no válido",IF(X486="","Falta valor",IF(I486="","Falta fuente: no se mostrará",IF(AND(J486="",K486=""),"Sin evidencia",IF(N486&lt;&gt;"Validado","Sin validar","OK")))))))</f>
        <v/>
      </c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9" t="n"/>
      <c r="N487" s="8" t="n"/>
      <c r="O487" s="8" t="n"/>
      <c r="P487" s="9" t="n"/>
      <c r="Q487" s="8" t="n"/>
      <c r="R487" s="8" t="n"/>
      <c r="S487" s="8" t="n"/>
      <c r="T487" s="8" t="n"/>
      <c r="U487" s="8" t="n"/>
      <c r="V487" s="11">
        <f>IF(C487="","",IFERROR(INDEX(Catalogo!$C$5:$C$129,MATCH(C487,Catalogo!$A$5:$A$129,0)),"Código no existe"))</f>
        <v/>
      </c>
      <c r="W487" s="11">
        <f>IF(C487="","",IFERROR(INDEX(Catalogo!$G$5:$G$129,MATCH(C487,Catalogo!$A$5:$A$129,0)),""))</f>
        <v/>
      </c>
      <c r="X487" s="12">
        <f>IF(C487="","",IF(ISNUMBER(F487),F487,IF(AND(ISNUMBER(D487),ISNUMBER(E487),E487&gt;0),D487/E487*IF(W487="%",100,1),IF(ISNUMBER(D487),D487,""))))</f>
        <v/>
      </c>
      <c r="Y487" s="11">
        <f>IF(C487="","",IF(A487="","Falta periodo",IF(COUNTIF(Listas!$A$2:$A$134,A487)=0,"Periodo no válido",IF(X487="","Falta valor",IF(I487="","Falta fuente: no se mostrará",IF(AND(J487="",K487=""),"Sin evidencia",IF(N487&lt;&gt;"Validado","Sin validar","OK")))))))</f>
        <v/>
      </c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9" t="n"/>
      <c r="N488" s="8" t="n"/>
      <c r="O488" s="8" t="n"/>
      <c r="P488" s="9" t="n"/>
      <c r="Q488" s="8" t="n"/>
      <c r="R488" s="8" t="n"/>
      <c r="S488" s="8" t="n"/>
      <c r="T488" s="8" t="n"/>
      <c r="U488" s="8" t="n"/>
      <c r="V488" s="11">
        <f>IF(C488="","",IFERROR(INDEX(Catalogo!$C$5:$C$129,MATCH(C488,Catalogo!$A$5:$A$129,0)),"Código no existe"))</f>
        <v/>
      </c>
      <c r="W488" s="11">
        <f>IF(C488="","",IFERROR(INDEX(Catalogo!$G$5:$G$129,MATCH(C488,Catalogo!$A$5:$A$129,0)),""))</f>
        <v/>
      </c>
      <c r="X488" s="12">
        <f>IF(C488="","",IF(ISNUMBER(F488),F488,IF(AND(ISNUMBER(D488),ISNUMBER(E488),E488&gt;0),D488/E488*IF(W488="%",100,1),IF(ISNUMBER(D488),D488,""))))</f>
        <v/>
      </c>
      <c r="Y488" s="11">
        <f>IF(C488="","",IF(A488="","Falta periodo",IF(COUNTIF(Listas!$A$2:$A$134,A488)=0,"Periodo no válido",IF(X488="","Falta valor",IF(I488="","Falta fuente: no se mostrará",IF(AND(J488="",K488=""),"Sin evidencia",IF(N488&lt;&gt;"Validado","Sin validar","OK")))))))</f>
        <v/>
      </c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9" t="n"/>
      <c r="N489" s="8" t="n"/>
      <c r="O489" s="8" t="n"/>
      <c r="P489" s="9" t="n"/>
      <c r="Q489" s="8" t="n"/>
      <c r="R489" s="8" t="n"/>
      <c r="S489" s="8" t="n"/>
      <c r="T489" s="8" t="n"/>
      <c r="U489" s="8" t="n"/>
      <c r="V489" s="11">
        <f>IF(C489="","",IFERROR(INDEX(Catalogo!$C$5:$C$129,MATCH(C489,Catalogo!$A$5:$A$129,0)),"Código no existe"))</f>
        <v/>
      </c>
      <c r="W489" s="11">
        <f>IF(C489="","",IFERROR(INDEX(Catalogo!$G$5:$G$129,MATCH(C489,Catalogo!$A$5:$A$129,0)),""))</f>
        <v/>
      </c>
      <c r="X489" s="12">
        <f>IF(C489="","",IF(ISNUMBER(F489),F489,IF(AND(ISNUMBER(D489),ISNUMBER(E489),E489&gt;0),D489/E489*IF(W489="%",100,1),IF(ISNUMBER(D489),D489,""))))</f>
        <v/>
      </c>
      <c r="Y489" s="11">
        <f>IF(C489="","",IF(A489="","Falta periodo",IF(COUNTIF(Listas!$A$2:$A$134,A489)=0,"Periodo no válido",IF(X489="","Falta valor",IF(I489="","Falta fuente: no se mostrará",IF(AND(J489="",K489=""),"Sin evidencia",IF(N489&lt;&gt;"Validado","Sin validar","OK")))))))</f>
        <v/>
      </c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9" t="n"/>
      <c r="N490" s="8" t="n"/>
      <c r="O490" s="8" t="n"/>
      <c r="P490" s="9" t="n"/>
      <c r="Q490" s="8" t="n"/>
      <c r="R490" s="8" t="n"/>
      <c r="S490" s="8" t="n"/>
      <c r="T490" s="8" t="n"/>
      <c r="U490" s="8" t="n"/>
      <c r="V490" s="11">
        <f>IF(C490="","",IFERROR(INDEX(Catalogo!$C$5:$C$129,MATCH(C490,Catalogo!$A$5:$A$129,0)),"Código no existe"))</f>
        <v/>
      </c>
      <c r="W490" s="11">
        <f>IF(C490="","",IFERROR(INDEX(Catalogo!$G$5:$G$129,MATCH(C490,Catalogo!$A$5:$A$129,0)),""))</f>
        <v/>
      </c>
      <c r="X490" s="12">
        <f>IF(C490="","",IF(ISNUMBER(F490),F490,IF(AND(ISNUMBER(D490),ISNUMBER(E490),E490&gt;0),D490/E490*IF(W490="%",100,1),IF(ISNUMBER(D490),D490,""))))</f>
        <v/>
      </c>
      <c r="Y490" s="11">
        <f>IF(C490="","",IF(A490="","Falta periodo",IF(COUNTIF(Listas!$A$2:$A$134,A490)=0,"Periodo no válido",IF(X490="","Falta valor",IF(I490="","Falta fuente: no se mostrará",IF(AND(J490="",K490=""),"Sin evidencia",IF(N490&lt;&gt;"Validado","Sin validar","OK")))))))</f>
        <v/>
      </c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9" t="n"/>
      <c r="N491" s="8" t="n"/>
      <c r="O491" s="8" t="n"/>
      <c r="P491" s="9" t="n"/>
      <c r="Q491" s="8" t="n"/>
      <c r="R491" s="8" t="n"/>
      <c r="S491" s="8" t="n"/>
      <c r="T491" s="8" t="n"/>
      <c r="U491" s="8" t="n"/>
      <c r="V491" s="11">
        <f>IF(C491="","",IFERROR(INDEX(Catalogo!$C$5:$C$129,MATCH(C491,Catalogo!$A$5:$A$129,0)),"Código no existe"))</f>
        <v/>
      </c>
      <c r="W491" s="11">
        <f>IF(C491="","",IFERROR(INDEX(Catalogo!$G$5:$G$129,MATCH(C491,Catalogo!$A$5:$A$129,0)),""))</f>
        <v/>
      </c>
      <c r="X491" s="12">
        <f>IF(C491="","",IF(ISNUMBER(F491),F491,IF(AND(ISNUMBER(D491),ISNUMBER(E491),E491&gt;0),D491/E491*IF(W491="%",100,1),IF(ISNUMBER(D491),D491,""))))</f>
        <v/>
      </c>
      <c r="Y491" s="11">
        <f>IF(C491="","",IF(A491="","Falta periodo",IF(COUNTIF(Listas!$A$2:$A$134,A491)=0,"Periodo no válido",IF(X491="","Falta valor",IF(I491="","Falta fuente: no se mostrará",IF(AND(J491="",K491=""),"Sin evidencia",IF(N491&lt;&gt;"Validado","Sin validar","OK")))))))</f>
        <v/>
      </c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9" t="n"/>
      <c r="N492" s="8" t="n"/>
      <c r="O492" s="8" t="n"/>
      <c r="P492" s="9" t="n"/>
      <c r="Q492" s="8" t="n"/>
      <c r="R492" s="8" t="n"/>
      <c r="S492" s="8" t="n"/>
      <c r="T492" s="8" t="n"/>
      <c r="U492" s="8" t="n"/>
      <c r="V492" s="11">
        <f>IF(C492="","",IFERROR(INDEX(Catalogo!$C$5:$C$129,MATCH(C492,Catalogo!$A$5:$A$129,0)),"Código no existe"))</f>
        <v/>
      </c>
      <c r="W492" s="11">
        <f>IF(C492="","",IFERROR(INDEX(Catalogo!$G$5:$G$129,MATCH(C492,Catalogo!$A$5:$A$129,0)),""))</f>
        <v/>
      </c>
      <c r="X492" s="12">
        <f>IF(C492="","",IF(ISNUMBER(F492),F492,IF(AND(ISNUMBER(D492),ISNUMBER(E492),E492&gt;0),D492/E492*IF(W492="%",100,1),IF(ISNUMBER(D492),D492,""))))</f>
        <v/>
      </c>
      <c r="Y492" s="11">
        <f>IF(C492="","",IF(A492="","Falta periodo",IF(COUNTIF(Listas!$A$2:$A$134,A492)=0,"Periodo no válido",IF(X492="","Falta valor",IF(I492="","Falta fuente: no se mostrará",IF(AND(J492="",K492=""),"Sin evidencia",IF(N492&lt;&gt;"Validado","Sin validar","OK")))))))</f>
        <v/>
      </c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9" t="n"/>
      <c r="N493" s="8" t="n"/>
      <c r="O493" s="8" t="n"/>
      <c r="P493" s="9" t="n"/>
      <c r="Q493" s="8" t="n"/>
      <c r="R493" s="8" t="n"/>
      <c r="S493" s="8" t="n"/>
      <c r="T493" s="8" t="n"/>
      <c r="U493" s="8" t="n"/>
      <c r="V493" s="11">
        <f>IF(C493="","",IFERROR(INDEX(Catalogo!$C$5:$C$129,MATCH(C493,Catalogo!$A$5:$A$129,0)),"Código no existe"))</f>
        <v/>
      </c>
      <c r="W493" s="11">
        <f>IF(C493="","",IFERROR(INDEX(Catalogo!$G$5:$G$129,MATCH(C493,Catalogo!$A$5:$A$129,0)),""))</f>
        <v/>
      </c>
      <c r="X493" s="12">
        <f>IF(C493="","",IF(ISNUMBER(F493),F493,IF(AND(ISNUMBER(D493),ISNUMBER(E493),E493&gt;0),D493/E493*IF(W493="%",100,1),IF(ISNUMBER(D493),D493,""))))</f>
        <v/>
      </c>
      <c r="Y493" s="11">
        <f>IF(C493="","",IF(A493="","Falta periodo",IF(COUNTIF(Listas!$A$2:$A$134,A493)=0,"Periodo no válido",IF(X493="","Falta valor",IF(I493="","Falta fuente: no se mostrará",IF(AND(J493="",K493=""),"Sin evidencia",IF(N493&lt;&gt;"Validado","Sin validar","OK")))))))</f>
        <v/>
      </c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9" t="n"/>
      <c r="N494" s="8" t="n"/>
      <c r="O494" s="8" t="n"/>
      <c r="P494" s="9" t="n"/>
      <c r="Q494" s="8" t="n"/>
      <c r="R494" s="8" t="n"/>
      <c r="S494" s="8" t="n"/>
      <c r="T494" s="8" t="n"/>
      <c r="U494" s="8" t="n"/>
      <c r="V494" s="11">
        <f>IF(C494="","",IFERROR(INDEX(Catalogo!$C$5:$C$129,MATCH(C494,Catalogo!$A$5:$A$129,0)),"Código no existe"))</f>
        <v/>
      </c>
      <c r="W494" s="11">
        <f>IF(C494="","",IFERROR(INDEX(Catalogo!$G$5:$G$129,MATCH(C494,Catalogo!$A$5:$A$129,0)),""))</f>
        <v/>
      </c>
      <c r="X494" s="12">
        <f>IF(C494="","",IF(ISNUMBER(F494),F494,IF(AND(ISNUMBER(D494),ISNUMBER(E494),E494&gt;0),D494/E494*IF(W494="%",100,1),IF(ISNUMBER(D494),D494,""))))</f>
        <v/>
      </c>
      <c r="Y494" s="11">
        <f>IF(C494="","",IF(A494="","Falta periodo",IF(COUNTIF(Listas!$A$2:$A$134,A494)=0,"Periodo no válido",IF(X494="","Falta valor",IF(I494="","Falta fuente: no se mostrará",IF(AND(J494="",K494=""),"Sin evidencia",IF(N494&lt;&gt;"Validado","Sin validar","OK")))))))</f>
        <v/>
      </c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9" t="n"/>
      <c r="N495" s="8" t="n"/>
      <c r="O495" s="8" t="n"/>
      <c r="P495" s="9" t="n"/>
      <c r="Q495" s="8" t="n"/>
      <c r="R495" s="8" t="n"/>
      <c r="S495" s="8" t="n"/>
      <c r="T495" s="8" t="n"/>
      <c r="U495" s="8" t="n"/>
      <c r="V495" s="11">
        <f>IF(C495="","",IFERROR(INDEX(Catalogo!$C$5:$C$129,MATCH(C495,Catalogo!$A$5:$A$129,0)),"Código no existe"))</f>
        <v/>
      </c>
      <c r="W495" s="11">
        <f>IF(C495="","",IFERROR(INDEX(Catalogo!$G$5:$G$129,MATCH(C495,Catalogo!$A$5:$A$129,0)),""))</f>
        <v/>
      </c>
      <c r="X495" s="12">
        <f>IF(C495="","",IF(ISNUMBER(F495),F495,IF(AND(ISNUMBER(D495),ISNUMBER(E495),E495&gt;0),D495/E495*IF(W495="%",100,1),IF(ISNUMBER(D495),D495,""))))</f>
        <v/>
      </c>
      <c r="Y495" s="11">
        <f>IF(C495="","",IF(A495="","Falta periodo",IF(COUNTIF(Listas!$A$2:$A$134,A495)=0,"Periodo no válido",IF(X495="","Falta valor",IF(I495="","Falta fuente: no se mostrará",IF(AND(J495="",K495=""),"Sin evidencia",IF(N495&lt;&gt;"Validado","Sin validar","OK")))))))</f>
        <v/>
      </c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9" t="n"/>
      <c r="N496" s="8" t="n"/>
      <c r="O496" s="8" t="n"/>
      <c r="P496" s="9" t="n"/>
      <c r="Q496" s="8" t="n"/>
      <c r="R496" s="8" t="n"/>
      <c r="S496" s="8" t="n"/>
      <c r="T496" s="8" t="n"/>
      <c r="U496" s="8" t="n"/>
      <c r="V496" s="11">
        <f>IF(C496="","",IFERROR(INDEX(Catalogo!$C$5:$C$129,MATCH(C496,Catalogo!$A$5:$A$129,0)),"Código no existe"))</f>
        <v/>
      </c>
      <c r="W496" s="11">
        <f>IF(C496="","",IFERROR(INDEX(Catalogo!$G$5:$G$129,MATCH(C496,Catalogo!$A$5:$A$129,0)),""))</f>
        <v/>
      </c>
      <c r="X496" s="12">
        <f>IF(C496="","",IF(ISNUMBER(F496),F496,IF(AND(ISNUMBER(D496),ISNUMBER(E496),E496&gt;0),D496/E496*IF(W496="%",100,1),IF(ISNUMBER(D496),D496,""))))</f>
        <v/>
      </c>
      <c r="Y496" s="11">
        <f>IF(C496="","",IF(A496="","Falta periodo",IF(COUNTIF(Listas!$A$2:$A$134,A496)=0,"Periodo no válido",IF(X496="","Falta valor",IF(I496="","Falta fuente: no se mostrará",IF(AND(J496="",K496=""),"Sin evidencia",IF(N496&lt;&gt;"Validado","Sin validar","OK")))))))</f>
        <v/>
      </c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9" t="n"/>
      <c r="N497" s="8" t="n"/>
      <c r="O497" s="8" t="n"/>
      <c r="P497" s="9" t="n"/>
      <c r="Q497" s="8" t="n"/>
      <c r="R497" s="8" t="n"/>
      <c r="S497" s="8" t="n"/>
      <c r="T497" s="8" t="n"/>
      <c r="U497" s="8" t="n"/>
      <c r="V497" s="11">
        <f>IF(C497="","",IFERROR(INDEX(Catalogo!$C$5:$C$129,MATCH(C497,Catalogo!$A$5:$A$129,0)),"Código no existe"))</f>
        <v/>
      </c>
      <c r="W497" s="11">
        <f>IF(C497="","",IFERROR(INDEX(Catalogo!$G$5:$G$129,MATCH(C497,Catalogo!$A$5:$A$129,0)),""))</f>
        <v/>
      </c>
      <c r="X497" s="12">
        <f>IF(C497="","",IF(ISNUMBER(F497),F497,IF(AND(ISNUMBER(D497),ISNUMBER(E497),E497&gt;0),D497/E497*IF(W497="%",100,1),IF(ISNUMBER(D497),D497,""))))</f>
        <v/>
      </c>
      <c r="Y497" s="11">
        <f>IF(C497="","",IF(A497="","Falta periodo",IF(COUNTIF(Listas!$A$2:$A$134,A497)=0,"Periodo no válido",IF(X497="","Falta valor",IF(I497="","Falta fuente: no se mostrará",IF(AND(J497="",K497=""),"Sin evidencia",IF(N497&lt;&gt;"Validado","Sin validar","OK")))))))</f>
        <v/>
      </c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9" t="n"/>
      <c r="N498" s="8" t="n"/>
      <c r="O498" s="8" t="n"/>
      <c r="P498" s="9" t="n"/>
      <c r="Q498" s="8" t="n"/>
      <c r="R498" s="8" t="n"/>
      <c r="S498" s="8" t="n"/>
      <c r="T498" s="8" t="n"/>
      <c r="U498" s="8" t="n"/>
      <c r="V498" s="11">
        <f>IF(C498="","",IFERROR(INDEX(Catalogo!$C$5:$C$129,MATCH(C498,Catalogo!$A$5:$A$129,0)),"Código no existe"))</f>
        <v/>
      </c>
      <c r="W498" s="11">
        <f>IF(C498="","",IFERROR(INDEX(Catalogo!$G$5:$G$129,MATCH(C498,Catalogo!$A$5:$A$129,0)),""))</f>
        <v/>
      </c>
      <c r="X498" s="12">
        <f>IF(C498="","",IF(ISNUMBER(F498),F498,IF(AND(ISNUMBER(D498),ISNUMBER(E498),E498&gt;0),D498/E498*IF(W498="%",100,1),IF(ISNUMBER(D498),D498,""))))</f>
        <v/>
      </c>
      <c r="Y498" s="11">
        <f>IF(C498="","",IF(A498="","Falta periodo",IF(COUNTIF(Listas!$A$2:$A$134,A498)=0,"Periodo no válido",IF(X498="","Falta valor",IF(I498="","Falta fuente: no se mostrará",IF(AND(J498="",K498=""),"Sin evidencia",IF(N498&lt;&gt;"Validado","Sin validar","OK")))))))</f>
        <v/>
      </c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9" t="n"/>
      <c r="N499" s="8" t="n"/>
      <c r="O499" s="8" t="n"/>
      <c r="P499" s="9" t="n"/>
      <c r="Q499" s="8" t="n"/>
      <c r="R499" s="8" t="n"/>
      <c r="S499" s="8" t="n"/>
      <c r="T499" s="8" t="n"/>
      <c r="U499" s="8" t="n"/>
      <c r="V499" s="11">
        <f>IF(C499="","",IFERROR(INDEX(Catalogo!$C$5:$C$129,MATCH(C499,Catalogo!$A$5:$A$129,0)),"Código no existe"))</f>
        <v/>
      </c>
      <c r="W499" s="11">
        <f>IF(C499="","",IFERROR(INDEX(Catalogo!$G$5:$G$129,MATCH(C499,Catalogo!$A$5:$A$129,0)),""))</f>
        <v/>
      </c>
      <c r="X499" s="12">
        <f>IF(C499="","",IF(ISNUMBER(F499),F499,IF(AND(ISNUMBER(D499),ISNUMBER(E499),E499&gt;0),D499/E499*IF(W499="%",100,1),IF(ISNUMBER(D499),D499,""))))</f>
        <v/>
      </c>
      <c r="Y499" s="11">
        <f>IF(C499="","",IF(A499="","Falta periodo",IF(COUNTIF(Listas!$A$2:$A$134,A499)=0,"Periodo no válido",IF(X499="","Falta valor",IF(I499="","Falta fuente: no se mostrará",IF(AND(J499="",K499=""),"Sin evidencia",IF(N499&lt;&gt;"Validado","Sin validar","OK")))))))</f>
        <v/>
      </c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9" t="n"/>
      <c r="N500" s="8" t="n"/>
      <c r="O500" s="8" t="n"/>
      <c r="P500" s="9" t="n"/>
      <c r="Q500" s="8" t="n"/>
      <c r="R500" s="8" t="n"/>
      <c r="S500" s="8" t="n"/>
      <c r="T500" s="8" t="n"/>
      <c r="U500" s="8" t="n"/>
      <c r="V500" s="11">
        <f>IF(C500="","",IFERROR(INDEX(Catalogo!$C$5:$C$129,MATCH(C500,Catalogo!$A$5:$A$129,0)),"Código no existe"))</f>
        <v/>
      </c>
      <c r="W500" s="11">
        <f>IF(C500="","",IFERROR(INDEX(Catalogo!$G$5:$G$129,MATCH(C500,Catalogo!$A$5:$A$129,0)),""))</f>
        <v/>
      </c>
      <c r="X500" s="12">
        <f>IF(C500="","",IF(ISNUMBER(F500),F500,IF(AND(ISNUMBER(D500),ISNUMBER(E500),E500&gt;0),D500/E500*IF(W500="%",100,1),IF(ISNUMBER(D500),D500,""))))</f>
        <v/>
      </c>
      <c r="Y500" s="11">
        <f>IF(C500="","",IF(A500="","Falta periodo",IF(COUNTIF(Listas!$A$2:$A$134,A500)=0,"Periodo no válido",IF(X500="","Falta valor",IF(I500="","Falta fuente: no se mostrará",IF(AND(J500="",K500=""),"Sin evidencia",IF(N500&lt;&gt;"Validado","Sin validar","OK")))))))</f>
        <v/>
      </c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9" t="n"/>
      <c r="N501" s="8" t="n"/>
      <c r="O501" s="8" t="n"/>
      <c r="P501" s="9" t="n"/>
      <c r="Q501" s="8" t="n"/>
      <c r="R501" s="8" t="n"/>
      <c r="S501" s="8" t="n"/>
      <c r="T501" s="8" t="n"/>
      <c r="U501" s="8" t="n"/>
      <c r="V501" s="11">
        <f>IF(C501="","",IFERROR(INDEX(Catalogo!$C$5:$C$129,MATCH(C501,Catalogo!$A$5:$A$129,0)),"Código no existe"))</f>
        <v/>
      </c>
      <c r="W501" s="11">
        <f>IF(C501="","",IFERROR(INDEX(Catalogo!$G$5:$G$129,MATCH(C501,Catalogo!$A$5:$A$129,0)),""))</f>
        <v/>
      </c>
      <c r="X501" s="12">
        <f>IF(C501="","",IF(ISNUMBER(F501),F501,IF(AND(ISNUMBER(D501),ISNUMBER(E501),E501&gt;0),D501/E501*IF(W501="%",100,1),IF(ISNUMBER(D501),D501,""))))</f>
        <v/>
      </c>
      <c r="Y501" s="11">
        <f>IF(C501="","",IF(A501="","Falta periodo",IF(COUNTIF(Listas!$A$2:$A$134,A501)=0,"Periodo no válido",IF(X501="","Falta valor",IF(I501="","Falta fuente: no se mostrará",IF(AND(J501="",K501=""),"Sin evidencia",IF(N501&lt;&gt;"Validado","Sin validar","OK")))))))</f>
        <v/>
      </c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9" t="n"/>
      <c r="N502" s="8" t="n"/>
      <c r="O502" s="8" t="n"/>
      <c r="P502" s="9" t="n"/>
      <c r="Q502" s="8" t="n"/>
      <c r="R502" s="8" t="n"/>
      <c r="S502" s="8" t="n"/>
      <c r="T502" s="8" t="n"/>
      <c r="U502" s="8" t="n"/>
      <c r="V502" s="11">
        <f>IF(C502="","",IFERROR(INDEX(Catalogo!$C$5:$C$129,MATCH(C502,Catalogo!$A$5:$A$129,0)),"Código no existe"))</f>
        <v/>
      </c>
      <c r="W502" s="11">
        <f>IF(C502="","",IFERROR(INDEX(Catalogo!$G$5:$G$129,MATCH(C502,Catalogo!$A$5:$A$129,0)),""))</f>
        <v/>
      </c>
      <c r="X502" s="12">
        <f>IF(C502="","",IF(ISNUMBER(F502),F502,IF(AND(ISNUMBER(D502),ISNUMBER(E502),E502&gt;0),D502/E502*IF(W502="%",100,1),IF(ISNUMBER(D502),D502,""))))</f>
        <v/>
      </c>
      <c r="Y502" s="11">
        <f>IF(C502="","",IF(A502="","Falta periodo",IF(COUNTIF(Listas!$A$2:$A$134,A502)=0,"Periodo no válido",IF(X502="","Falta valor",IF(I502="","Falta fuente: no se mostrará",IF(AND(J502="",K502=""),"Sin evidencia",IF(N502&lt;&gt;"Validado","Sin validar","OK")))))))</f>
        <v/>
      </c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9" t="n"/>
      <c r="N503" s="8" t="n"/>
      <c r="O503" s="8" t="n"/>
      <c r="P503" s="9" t="n"/>
      <c r="Q503" s="8" t="n"/>
      <c r="R503" s="8" t="n"/>
      <c r="S503" s="8" t="n"/>
      <c r="T503" s="8" t="n"/>
      <c r="U503" s="8" t="n"/>
      <c r="V503" s="11">
        <f>IF(C503="","",IFERROR(INDEX(Catalogo!$C$5:$C$129,MATCH(C503,Catalogo!$A$5:$A$129,0)),"Código no existe"))</f>
        <v/>
      </c>
      <c r="W503" s="11">
        <f>IF(C503="","",IFERROR(INDEX(Catalogo!$G$5:$G$129,MATCH(C503,Catalogo!$A$5:$A$129,0)),""))</f>
        <v/>
      </c>
      <c r="X503" s="12">
        <f>IF(C503="","",IF(ISNUMBER(F503),F503,IF(AND(ISNUMBER(D503),ISNUMBER(E503),E503&gt;0),D503/E503*IF(W503="%",100,1),IF(ISNUMBER(D503),D503,""))))</f>
        <v/>
      </c>
      <c r="Y503" s="11">
        <f>IF(C503="","",IF(A503="","Falta periodo",IF(COUNTIF(Listas!$A$2:$A$134,A503)=0,"Periodo no válido",IF(X503="","Falta valor",IF(I503="","Falta fuente: no se mostrará",IF(AND(J503="",K503=""),"Sin evidencia",IF(N503&lt;&gt;"Validado","Sin validar","OK")))))))</f>
        <v/>
      </c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9" t="n"/>
      <c r="N504" s="8" t="n"/>
      <c r="O504" s="8" t="n"/>
      <c r="P504" s="9" t="n"/>
      <c r="Q504" s="8" t="n"/>
      <c r="R504" s="8" t="n"/>
      <c r="S504" s="8" t="n"/>
      <c r="T504" s="8" t="n"/>
      <c r="U504" s="8" t="n"/>
      <c r="V504" s="11">
        <f>IF(C504="","",IFERROR(INDEX(Catalogo!$C$5:$C$129,MATCH(C504,Catalogo!$A$5:$A$129,0)),"Código no existe"))</f>
        <v/>
      </c>
      <c r="W504" s="11">
        <f>IF(C504="","",IFERROR(INDEX(Catalogo!$G$5:$G$129,MATCH(C504,Catalogo!$A$5:$A$129,0)),""))</f>
        <v/>
      </c>
      <c r="X504" s="12">
        <f>IF(C504="","",IF(ISNUMBER(F504),F504,IF(AND(ISNUMBER(D504),ISNUMBER(E504),E504&gt;0),D504/E504*IF(W504="%",100,1),IF(ISNUMBER(D504),D504,""))))</f>
        <v/>
      </c>
      <c r="Y504" s="11">
        <f>IF(C504="","",IF(A504="","Falta periodo",IF(COUNTIF(Listas!$A$2:$A$134,A504)=0,"Periodo no válido",IF(X504="","Falta valor",IF(I504="","Falta fuente: no se mostrará",IF(AND(J504="",K504=""),"Sin evidencia",IF(N504&lt;&gt;"Validado","Sin validar","OK")))))))</f>
        <v/>
      </c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9" t="n"/>
      <c r="N505" s="8" t="n"/>
      <c r="O505" s="8" t="n"/>
      <c r="P505" s="9" t="n"/>
      <c r="Q505" s="8" t="n"/>
      <c r="R505" s="8" t="n"/>
      <c r="S505" s="8" t="n"/>
      <c r="T505" s="8" t="n"/>
      <c r="U505" s="8" t="n"/>
      <c r="V505" s="11">
        <f>IF(C505="","",IFERROR(INDEX(Catalogo!$C$5:$C$129,MATCH(C505,Catalogo!$A$5:$A$129,0)),"Código no existe"))</f>
        <v/>
      </c>
      <c r="W505" s="11">
        <f>IF(C505="","",IFERROR(INDEX(Catalogo!$G$5:$G$129,MATCH(C505,Catalogo!$A$5:$A$129,0)),""))</f>
        <v/>
      </c>
      <c r="X505" s="12">
        <f>IF(C505="","",IF(ISNUMBER(F505),F505,IF(AND(ISNUMBER(D505),ISNUMBER(E505),E505&gt;0),D505/E505*IF(W505="%",100,1),IF(ISNUMBER(D505),D505,""))))</f>
        <v/>
      </c>
      <c r="Y505" s="11">
        <f>IF(C505="","",IF(A505="","Falta periodo",IF(COUNTIF(Listas!$A$2:$A$134,A505)=0,"Periodo no válido",IF(X505="","Falta valor",IF(I505="","Falta fuente: no se mostrará",IF(AND(J505="",K505=""),"Sin evidencia",IF(N505&lt;&gt;"Validado","Sin validar","OK")))))))</f>
        <v/>
      </c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9" t="n"/>
      <c r="N506" s="8" t="n"/>
      <c r="O506" s="8" t="n"/>
      <c r="P506" s="9" t="n"/>
      <c r="Q506" s="8" t="n"/>
      <c r="R506" s="8" t="n"/>
      <c r="S506" s="8" t="n"/>
      <c r="T506" s="8" t="n"/>
      <c r="U506" s="8" t="n"/>
      <c r="V506" s="11">
        <f>IF(C506="","",IFERROR(INDEX(Catalogo!$C$5:$C$129,MATCH(C506,Catalogo!$A$5:$A$129,0)),"Código no existe"))</f>
        <v/>
      </c>
      <c r="W506" s="11">
        <f>IF(C506="","",IFERROR(INDEX(Catalogo!$G$5:$G$129,MATCH(C506,Catalogo!$A$5:$A$129,0)),""))</f>
        <v/>
      </c>
      <c r="X506" s="12">
        <f>IF(C506="","",IF(ISNUMBER(F506),F506,IF(AND(ISNUMBER(D506),ISNUMBER(E506),E506&gt;0),D506/E506*IF(W506="%",100,1),IF(ISNUMBER(D506),D506,""))))</f>
        <v/>
      </c>
      <c r="Y506" s="11">
        <f>IF(C506="","",IF(A506="","Falta periodo",IF(COUNTIF(Listas!$A$2:$A$134,A506)=0,"Periodo no válido",IF(X506="","Falta valor",IF(I506="","Falta fuente: no se mostrará",IF(AND(J506="",K506=""),"Sin evidencia",IF(N506&lt;&gt;"Validado","Sin validar","OK")))))))</f>
        <v/>
      </c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9" t="n"/>
      <c r="N507" s="8" t="n"/>
      <c r="O507" s="8" t="n"/>
      <c r="P507" s="9" t="n"/>
      <c r="Q507" s="8" t="n"/>
      <c r="R507" s="8" t="n"/>
      <c r="S507" s="8" t="n"/>
      <c r="T507" s="8" t="n"/>
      <c r="U507" s="8" t="n"/>
      <c r="V507" s="11">
        <f>IF(C507="","",IFERROR(INDEX(Catalogo!$C$5:$C$129,MATCH(C507,Catalogo!$A$5:$A$129,0)),"Código no existe"))</f>
        <v/>
      </c>
      <c r="W507" s="11">
        <f>IF(C507="","",IFERROR(INDEX(Catalogo!$G$5:$G$129,MATCH(C507,Catalogo!$A$5:$A$129,0)),""))</f>
        <v/>
      </c>
      <c r="X507" s="12">
        <f>IF(C507="","",IF(ISNUMBER(F507),F507,IF(AND(ISNUMBER(D507),ISNUMBER(E507),E507&gt;0),D507/E507*IF(W507="%",100,1),IF(ISNUMBER(D507),D507,""))))</f>
        <v/>
      </c>
      <c r="Y507" s="11">
        <f>IF(C507="","",IF(A507="","Falta periodo",IF(COUNTIF(Listas!$A$2:$A$134,A507)=0,"Periodo no válido",IF(X507="","Falta valor",IF(I507="","Falta fuente: no se mostrará",IF(AND(J507="",K507=""),"Sin evidencia",IF(N507&lt;&gt;"Validado","Sin validar","OK")))))))</f>
        <v/>
      </c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9" t="n"/>
      <c r="N508" s="8" t="n"/>
      <c r="O508" s="8" t="n"/>
      <c r="P508" s="9" t="n"/>
      <c r="Q508" s="8" t="n"/>
      <c r="R508" s="8" t="n"/>
      <c r="S508" s="8" t="n"/>
      <c r="T508" s="8" t="n"/>
      <c r="U508" s="8" t="n"/>
      <c r="V508" s="11">
        <f>IF(C508="","",IFERROR(INDEX(Catalogo!$C$5:$C$129,MATCH(C508,Catalogo!$A$5:$A$129,0)),"Código no existe"))</f>
        <v/>
      </c>
      <c r="W508" s="11">
        <f>IF(C508="","",IFERROR(INDEX(Catalogo!$G$5:$G$129,MATCH(C508,Catalogo!$A$5:$A$129,0)),""))</f>
        <v/>
      </c>
      <c r="X508" s="12">
        <f>IF(C508="","",IF(ISNUMBER(F508),F508,IF(AND(ISNUMBER(D508),ISNUMBER(E508),E508&gt;0),D508/E508*IF(W508="%",100,1),IF(ISNUMBER(D508),D508,""))))</f>
        <v/>
      </c>
      <c r="Y508" s="11">
        <f>IF(C508="","",IF(A508="","Falta periodo",IF(COUNTIF(Listas!$A$2:$A$134,A508)=0,"Periodo no válido",IF(X508="","Falta valor",IF(I508="","Falta fuente: no se mostrará",IF(AND(J508="",K508=""),"Sin evidencia",IF(N508&lt;&gt;"Validado","Sin validar","OK")))))))</f>
        <v/>
      </c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9" t="n"/>
      <c r="N509" s="8" t="n"/>
      <c r="O509" s="8" t="n"/>
      <c r="P509" s="9" t="n"/>
      <c r="Q509" s="8" t="n"/>
      <c r="R509" s="8" t="n"/>
      <c r="S509" s="8" t="n"/>
      <c r="T509" s="8" t="n"/>
      <c r="U509" s="8" t="n"/>
      <c r="V509" s="11">
        <f>IF(C509="","",IFERROR(INDEX(Catalogo!$C$5:$C$129,MATCH(C509,Catalogo!$A$5:$A$129,0)),"Código no existe"))</f>
        <v/>
      </c>
      <c r="W509" s="11">
        <f>IF(C509="","",IFERROR(INDEX(Catalogo!$G$5:$G$129,MATCH(C509,Catalogo!$A$5:$A$129,0)),""))</f>
        <v/>
      </c>
      <c r="X509" s="12">
        <f>IF(C509="","",IF(ISNUMBER(F509),F509,IF(AND(ISNUMBER(D509),ISNUMBER(E509),E509&gt;0),D509/E509*IF(W509="%",100,1),IF(ISNUMBER(D509),D509,""))))</f>
        <v/>
      </c>
      <c r="Y509" s="11">
        <f>IF(C509="","",IF(A509="","Falta periodo",IF(COUNTIF(Listas!$A$2:$A$134,A509)=0,"Periodo no válido",IF(X509="","Falta valor",IF(I509="","Falta fuente: no se mostrará",IF(AND(J509="",K509=""),"Sin evidencia",IF(N509&lt;&gt;"Validado","Sin validar","OK")))))))</f>
        <v/>
      </c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9" t="n"/>
      <c r="N510" s="8" t="n"/>
      <c r="O510" s="8" t="n"/>
      <c r="P510" s="9" t="n"/>
      <c r="Q510" s="8" t="n"/>
      <c r="R510" s="8" t="n"/>
      <c r="S510" s="8" t="n"/>
      <c r="T510" s="8" t="n"/>
      <c r="U510" s="8" t="n"/>
      <c r="V510" s="11">
        <f>IF(C510="","",IFERROR(INDEX(Catalogo!$C$5:$C$129,MATCH(C510,Catalogo!$A$5:$A$129,0)),"Código no existe"))</f>
        <v/>
      </c>
      <c r="W510" s="11">
        <f>IF(C510="","",IFERROR(INDEX(Catalogo!$G$5:$G$129,MATCH(C510,Catalogo!$A$5:$A$129,0)),""))</f>
        <v/>
      </c>
      <c r="X510" s="12">
        <f>IF(C510="","",IF(ISNUMBER(F510),F510,IF(AND(ISNUMBER(D510),ISNUMBER(E510),E510&gt;0),D510/E510*IF(W510="%",100,1),IF(ISNUMBER(D510),D510,""))))</f>
        <v/>
      </c>
      <c r="Y510" s="11">
        <f>IF(C510="","",IF(A510="","Falta periodo",IF(COUNTIF(Listas!$A$2:$A$134,A510)=0,"Periodo no válido",IF(X510="","Falta valor",IF(I510="","Falta fuente: no se mostrará",IF(AND(J510="",K510=""),"Sin evidencia",IF(N510&lt;&gt;"Validado","Sin validar","OK")))))))</f>
        <v/>
      </c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9" t="n"/>
      <c r="N511" s="8" t="n"/>
      <c r="O511" s="8" t="n"/>
      <c r="P511" s="9" t="n"/>
      <c r="Q511" s="8" t="n"/>
      <c r="R511" s="8" t="n"/>
      <c r="S511" s="8" t="n"/>
      <c r="T511" s="8" t="n"/>
      <c r="U511" s="8" t="n"/>
      <c r="V511" s="11">
        <f>IF(C511="","",IFERROR(INDEX(Catalogo!$C$5:$C$129,MATCH(C511,Catalogo!$A$5:$A$129,0)),"Código no existe"))</f>
        <v/>
      </c>
      <c r="W511" s="11">
        <f>IF(C511="","",IFERROR(INDEX(Catalogo!$G$5:$G$129,MATCH(C511,Catalogo!$A$5:$A$129,0)),""))</f>
        <v/>
      </c>
      <c r="X511" s="12">
        <f>IF(C511="","",IF(ISNUMBER(F511),F511,IF(AND(ISNUMBER(D511),ISNUMBER(E511),E511&gt;0),D511/E511*IF(W511="%",100,1),IF(ISNUMBER(D511),D511,""))))</f>
        <v/>
      </c>
      <c r="Y511" s="11">
        <f>IF(C511="","",IF(A511="","Falta periodo",IF(COUNTIF(Listas!$A$2:$A$134,A511)=0,"Periodo no válido",IF(X511="","Falta valor",IF(I511="","Falta fuente: no se mostrará",IF(AND(J511="",K511=""),"Sin evidencia",IF(N511&lt;&gt;"Validado","Sin validar","OK")))))))</f>
        <v/>
      </c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9" t="n"/>
      <c r="N512" s="8" t="n"/>
      <c r="O512" s="8" t="n"/>
      <c r="P512" s="9" t="n"/>
      <c r="Q512" s="8" t="n"/>
      <c r="R512" s="8" t="n"/>
      <c r="S512" s="8" t="n"/>
      <c r="T512" s="8" t="n"/>
      <c r="U512" s="8" t="n"/>
      <c r="V512" s="11">
        <f>IF(C512="","",IFERROR(INDEX(Catalogo!$C$5:$C$129,MATCH(C512,Catalogo!$A$5:$A$129,0)),"Código no existe"))</f>
        <v/>
      </c>
      <c r="W512" s="11">
        <f>IF(C512="","",IFERROR(INDEX(Catalogo!$G$5:$G$129,MATCH(C512,Catalogo!$A$5:$A$129,0)),""))</f>
        <v/>
      </c>
      <c r="X512" s="12">
        <f>IF(C512="","",IF(ISNUMBER(F512),F512,IF(AND(ISNUMBER(D512),ISNUMBER(E512),E512&gt;0),D512/E512*IF(W512="%",100,1),IF(ISNUMBER(D512),D512,""))))</f>
        <v/>
      </c>
      <c r="Y512" s="11">
        <f>IF(C512="","",IF(A512="","Falta periodo",IF(COUNTIF(Listas!$A$2:$A$134,A512)=0,"Periodo no válido",IF(X512="","Falta valor",IF(I512="","Falta fuente: no se mostrará",IF(AND(J512="",K512=""),"Sin evidencia",IF(N512&lt;&gt;"Validado","Sin validar","OK")))))))</f>
        <v/>
      </c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9" t="n"/>
      <c r="N513" s="8" t="n"/>
      <c r="O513" s="8" t="n"/>
      <c r="P513" s="9" t="n"/>
      <c r="Q513" s="8" t="n"/>
      <c r="R513" s="8" t="n"/>
      <c r="S513" s="8" t="n"/>
      <c r="T513" s="8" t="n"/>
      <c r="U513" s="8" t="n"/>
      <c r="V513" s="11">
        <f>IF(C513="","",IFERROR(INDEX(Catalogo!$C$5:$C$129,MATCH(C513,Catalogo!$A$5:$A$129,0)),"Código no existe"))</f>
        <v/>
      </c>
      <c r="W513" s="11">
        <f>IF(C513="","",IFERROR(INDEX(Catalogo!$G$5:$G$129,MATCH(C513,Catalogo!$A$5:$A$129,0)),""))</f>
        <v/>
      </c>
      <c r="X513" s="12">
        <f>IF(C513="","",IF(ISNUMBER(F513),F513,IF(AND(ISNUMBER(D513),ISNUMBER(E513),E513&gt;0),D513/E513*IF(W513="%",100,1),IF(ISNUMBER(D513),D513,""))))</f>
        <v/>
      </c>
      <c r="Y513" s="11">
        <f>IF(C513="","",IF(A513="","Falta periodo",IF(COUNTIF(Listas!$A$2:$A$134,A513)=0,"Periodo no válido",IF(X513="","Falta valor",IF(I513="","Falta fuente: no se mostrará",IF(AND(J513="",K513=""),"Sin evidencia",IF(N513&lt;&gt;"Validado","Sin validar","OK")))))))</f>
        <v/>
      </c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9" t="n"/>
      <c r="N514" s="8" t="n"/>
      <c r="O514" s="8" t="n"/>
      <c r="P514" s="9" t="n"/>
      <c r="Q514" s="8" t="n"/>
      <c r="R514" s="8" t="n"/>
      <c r="S514" s="8" t="n"/>
      <c r="T514" s="8" t="n"/>
      <c r="U514" s="8" t="n"/>
      <c r="V514" s="11">
        <f>IF(C514="","",IFERROR(INDEX(Catalogo!$C$5:$C$129,MATCH(C514,Catalogo!$A$5:$A$129,0)),"Código no existe"))</f>
        <v/>
      </c>
      <c r="W514" s="11">
        <f>IF(C514="","",IFERROR(INDEX(Catalogo!$G$5:$G$129,MATCH(C514,Catalogo!$A$5:$A$129,0)),""))</f>
        <v/>
      </c>
      <c r="X514" s="12">
        <f>IF(C514="","",IF(ISNUMBER(F514),F514,IF(AND(ISNUMBER(D514),ISNUMBER(E514),E514&gt;0),D514/E514*IF(W514="%",100,1),IF(ISNUMBER(D514),D514,""))))</f>
        <v/>
      </c>
      <c r="Y514" s="11">
        <f>IF(C514="","",IF(A514="","Falta periodo",IF(COUNTIF(Listas!$A$2:$A$134,A514)=0,"Periodo no válido",IF(X514="","Falta valor",IF(I514="","Falta fuente: no se mostrará",IF(AND(J514="",K514=""),"Sin evidencia",IF(N514&lt;&gt;"Validado","Sin validar","OK")))))))</f>
        <v/>
      </c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9" t="n"/>
      <c r="N515" s="8" t="n"/>
      <c r="O515" s="8" t="n"/>
      <c r="P515" s="9" t="n"/>
      <c r="Q515" s="8" t="n"/>
      <c r="R515" s="8" t="n"/>
      <c r="S515" s="8" t="n"/>
      <c r="T515" s="8" t="n"/>
      <c r="U515" s="8" t="n"/>
      <c r="V515" s="11">
        <f>IF(C515="","",IFERROR(INDEX(Catalogo!$C$5:$C$129,MATCH(C515,Catalogo!$A$5:$A$129,0)),"Código no existe"))</f>
        <v/>
      </c>
      <c r="W515" s="11">
        <f>IF(C515="","",IFERROR(INDEX(Catalogo!$G$5:$G$129,MATCH(C515,Catalogo!$A$5:$A$129,0)),""))</f>
        <v/>
      </c>
      <c r="X515" s="12">
        <f>IF(C515="","",IF(ISNUMBER(F515),F515,IF(AND(ISNUMBER(D515),ISNUMBER(E515),E515&gt;0),D515/E515*IF(W515="%",100,1),IF(ISNUMBER(D515),D515,""))))</f>
        <v/>
      </c>
      <c r="Y515" s="11">
        <f>IF(C515="","",IF(A515="","Falta periodo",IF(COUNTIF(Listas!$A$2:$A$134,A515)=0,"Periodo no válido",IF(X515="","Falta valor",IF(I515="","Falta fuente: no se mostrará",IF(AND(J515="",K515=""),"Sin evidencia",IF(N515&lt;&gt;"Validado","Sin validar","OK")))))))</f>
        <v/>
      </c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9" t="n"/>
      <c r="N516" s="8" t="n"/>
      <c r="O516" s="8" t="n"/>
      <c r="P516" s="9" t="n"/>
      <c r="Q516" s="8" t="n"/>
      <c r="R516" s="8" t="n"/>
      <c r="S516" s="8" t="n"/>
      <c r="T516" s="8" t="n"/>
      <c r="U516" s="8" t="n"/>
      <c r="V516" s="11">
        <f>IF(C516="","",IFERROR(INDEX(Catalogo!$C$5:$C$129,MATCH(C516,Catalogo!$A$5:$A$129,0)),"Código no existe"))</f>
        <v/>
      </c>
      <c r="W516" s="11">
        <f>IF(C516="","",IFERROR(INDEX(Catalogo!$G$5:$G$129,MATCH(C516,Catalogo!$A$5:$A$129,0)),""))</f>
        <v/>
      </c>
      <c r="X516" s="12">
        <f>IF(C516="","",IF(ISNUMBER(F516),F516,IF(AND(ISNUMBER(D516),ISNUMBER(E516),E516&gt;0),D516/E516*IF(W516="%",100,1),IF(ISNUMBER(D516),D516,""))))</f>
        <v/>
      </c>
      <c r="Y516" s="11">
        <f>IF(C516="","",IF(A516="","Falta periodo",IF(COUNTIF(Listas!$A$2:$A$134,A516)=0,"Periodo no válido",IF(X516="","Falta valor",IF(I516="","Falta fuente: no se mostrará",IF(AND(J516="",K516=""),"Sin evidencia",IF(N516&lt;&gt;"Validado","Sin validar","OK")))))))</f>
        <v/>
      </c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9" t="n"/>
      <c r="N517" s="8" t="n"/>
      <c r="O517" s="8" t="n"/>
      <c r="P517" s="9" t="n"/>
      <c r="Q517" s="8" t="n"/>
      <c r="R517" s="8" t="n"/>
      <c r="S517" s="8" t="n"/>
      <c r="T517" s="8" t="n"/>
      <c r="U517" s="8" t="n"/>
      <c r="V517" s="11">
        <f>IF(C517="","",IFERROR(INDEX(Catalogo!$C$5:$C$129,MATCH(C517,Catalogo!$A$5:$A$129,0)),"Código no existe"))</f>
        <v/>
      </c>
      <c r="W517" s="11">
        <f>IF(C517="","",IFERROR(INDEX(Catalogo!$G$5:$G$129,MATCH(C517,Catalogo!$A$5:$A$129,0)),""))</f>
        <v/>
      </c>
      <c r="X517" s="12">
        <f>IF(C517="","",IF(ISNUMBER(F517),F517,IF(AND(ISNUMBER(D517),ISNUMBER(E517),E517&gt;0),D517/E517*IF(W517="%",100,1),IF(ISNUMBER(D517),D517,""))))</f>
        <v/>
      </c>
      <c r="Y517" s="11">
        <f>IF(C517="","",IF(A517="","Falta periodo",IF(COUNTIF(Listas!$A$2:$A$134,A517)=0,"Periodo no válido",IF(X517="","Falta valor",IF(I517="","Falta fuente: no se mostrará",IF(AND(J517="",K517=""),"Sin evidencia",IF(N517&lt;&gt;"Validado","Sin validar","OK")))))))</f>
        <v/>
      </c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9" t="n"/>
      <c r="N518" s="8" t="n"/>
      <c r="O518" s="8" t="n"/>
      <c r="P518" s="9" t="n"/>
      <c r="Q518" s="8" t="n"/>
      <c r="R518" s="8" t="n"/>
      <c r="S518" s="8" t="n"/>
      <c r="T518" s="8" t="n"/>
      <c r="U518" s="8" t="n"/>
      <c r="V518" s="11">
        <f>IF(C518="","",IFERROR(INDEX(Catalogo!$C$5:$C$129,MATCH(C518,Catalogo!$A$5:$A$129,0)),"Código no existe"))</f>
        <v/>
      </c>
      <c r="W518" s="11">
        <f>IF(C518="","",IFERROR(INDEX(Catalogo!$G$5:$G$129,MATCH(C518,Catalogo!$A$5:$A$129,0)),""))</f>
        <v/>
      </c>
      <c r="X518" s="12">
        <f>IF(C518="","",IF(ISNUMBER(F518),F518,IF(AND(ISNUMBER(D518),ISNUMBER(E518),E518&gt;0),D518/E518*IF(W518="%",100,1),IF(ISNUMBER(D518),D518,""))))</f>
        <v/>
      </c>
      <c r="Y518" s="11">
        <f>IF(C518="","",IF(A518="","Falta periodo",IF(COUNTIF(Listas!$A$2:$A$134,A518)=0,"Periodo no válido",IF(X518="","Falta valor",IF(I518="","Falta fuente: no se mostrará",IF(AND(J518="",K518=""),"Sin evidencia",IF(N518&lt;&gt;"Validado","Sin validar","OK")))))))</f>
        <v/>
      </c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9" t="n"/>
      <c r="N519" s="8" t="n"/>
      <c r="O519" s="8" t="n"/>
      <c r="P519" s="9" t="n"/>
      <c r="Q519" s="8" t="n"/>
      <c r="R519" s="8" t="n"/>
      <c r="S519" s="8" t="n"/>
      <c r="T519" s="8" t="n"/>
      <c r="U519" s="8" t="n"/>
      <c r="V519" s="11">
        <f>IF(C519="","",IFERROR(INDEX(Catalogo!$C$5:$C$129,MATCH(C519,Catalogo!$A$5:$A$129,0)),"Código no existe"))</f>
        <v/>
      </c>
      <c r="W519" s="11">
        <f>IF(C519="","",IFERROR(INDEX(Catalogo!$G$5:$G$129,MATCH(C519,Catalogo!$A$5:$A$129,0)),""))</f>
        <v/>
      </c>
      <c r="X519" s="12">
        <f>IF(C519="","",IF(ISNUMBER(F519),F519,IF(AND(ISNUMBER(D519),ISNUMBER(E519),E519&gt;0),D519/E519*IF(W519="%",100,1),IF(ISNUMBER(D519),D519,""))))</f>
        <v/>
      </c>
      <c r="Y519" s="11">
        <f>IF(C519="","",IF(A519="","Falta periodo",IF(COUNTIF(Listas!$A$2:$A$134,A519)=0,"Periodo no válido",IF(X519="","Falta valor",IF(I519="","Falta fuente: no se mostrará",IF(AND(J519="",K519=""),"Sin evidencia",IF(N519&lt;&gt;"Validado","Sin validar","OK")))))))</f>
        <v/>
      </c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9" t="n"/>
      <c r="N520" s="8" t="n"/>
      <c r="O520" s="8" t="n"/>
      <c r="P520" s="9" t="n"/>
      <c r="Q520" s="8" t="n"/>
      <c r="R520" s="8" t="n"/>
      <c r="S520" s="8" t="n"/>
      <c r="T520" s="8" t="n"/>
      <c r="U520" s="8" t="n"/>
      <c r="V520" s="11">
        <f>IF(C520="","",IFERROR(INDEX(Catalogo!$C$5:$C$129,MATCH(C520,Catalogo!$A$5:$A$129,0)),"Código no existe"))</f>
        <v/>
      </c>
      <c r="W520" s="11">
        <f>IF(C520="","",IFERROR(INDEX(Catalogo!$G$5:$G$129,MATCH(C520,Catalogo!$A$5:$A$129,0)),""))</f>
        <v/>
      </c>
      <c r="X520" s="12">
        <f>IF(C520="","",IF(ISNUMBER(F520),F520,IF(AND(ISNUMBER(D520),ISNUMBER(E520),E520&gt;0),D520/E520*IF(W520="%",100,1),IF(ISNUMBER(D520),D520,""))))</f>
        <v/>
      </c>
      <c r="Y520" s="11">
        <f>IF(C520="","",IF(A520="","Falta periodo",IF(COUNTIF(Listas!$A$2:$A$134,A520)=0,"Periodo no válido",IF(X520="","Falta valor",IF(I520="","Falta fuente: no se mostrará",IF(AND(J520="",K520=""),"Sin evidencia",IF(N520&lt;&gt;"Validado","Sin validar","OK")))))))</f>
        <v/>
      </c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9" t="n"/>
      <c r="N521" s="8" t="n"/>
      <c r="O521" s="8" t="n"/>
      <c r="P521" s="9" t="n"/>
      <c r="Q521" s="8" t="n"/>
      <c r="R521" s="8" t="n"/>
      <c r="S521" s="8" t="n"/>
      <c r="T521" s="8" t="n"/>
      <c r="U521" s="8" t="n"/>
      <c r="V521" s="11">
        <f>IF(C521="","",IFERROR(INDEX(Catalogo!$C$5:$C$129,MATCH(C521,Catalogo!$A$5:$A$129,0)),"Código no existe"))</f>
        <v/>
      </c>
      <c r="W521" s="11">
        <f>IF(C521="","",IFERROR(INDEX(Catalogo!$G$5:$G$129,MATCH(C521,Catalogo!$A$5:$A$129,0)),""))</f>
        <v/>
      </c>
      <c r="X521" s="12">
        <f>IF(C521="","",IF(ISNUMBER(F521),F521,IF(AND(ISNUMBER(D521),ISNUMBER(E521),E521&gt;0),D521/E521*IF(W521="%",100,1),IF(ISNUMBER(D521),D521,""))))</f>
        <v/>
      </c>
      <c r="Y521" s="11">
        <f>IF(C521="","",IF(A521="","Falta periodo",IF(COUNTIF(Listas!$A$2:$A$134,A521)=0,"Periodo no válido",IF(X521="","Falta valor",IF(I521="","Falta fuente: no se mostrará",IF(AND(J521="",K521=""),"Sin evidencia",IF(N521&lt;&gt;"Validado","Sin validar","OK")))))))</f>
        <v/>
      </c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9" t="n"/>
      <c r="N522" s="8" t="n"/>
      <c r="O522" s="8" t="n"/>
      <c r="P522" s="9" t="n"/>
      <c r="Q522" s="8" t="n"/>
      <c r="R522" s="8" t="n"/>
      <c r="S522" s="8" t="n"/>
      <c r="T522" s="8" t="n"/>
      <c r="U522" s="8" t="n"/>
      <c r="V522" s="11">
        <f>IF(C522="","",IFERROR(INDEX(Catalogo!$C$5:$C$129,MATCH(C522,Catalogo!$A$5:$A$129,0)),"Código no existe"))</f>
        <v/>
      </c>
      <c r="W522" s="11">
        <f>IF(C522="","",IFERROR(INDEX(Catalogo!$G$5:$G$129,MATCH(C522,Catalogo!$A$5:$A$129,0)),""))</f>
        <v/>
      </c>
      <c r="X522" s="12">
        <f>IF(C522="","",IF(ISNUMBER(F522),F522,IF(AND(ISNUMBER(D522),ISNUMBER(E522),E522&gt;0),D522/E522*IF(W522="%",100,1),IF(ISNUMBER(D522),D522,""))))</f>
        <v/>
      </c>
      <c r="Y522" s="11">
        <f>IF(C522="","",IF(A522="","Falta periodo",IF(COUNTIF(Listas!$A$2:$A$134,A522)=0,"Periodo no válido",IF(X522="","Falta valor",IF(I522="","Falta fuente: no se mostrará",IF(AND(J522="",K522=""),"Sin evidencia",IF(N522&lt;&gt;"Validado","Sin validar","OK")))))))</f>
        <v/>
      </c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9" t="n"/>
      <c r="N523" s="8" t="n"/>
      <c r="O523" s="8" t="n"/>
      <c r="P523" s="9" t="n"/>
      <c r="Q523" s="8" t="n"/>
      <c r="R523" s="8" t="n"/>
      <c r="S523" s="8" t="n"/>
      <c r="T523" s="8" t="n"/>
      <c r="U523" s="8" t="n"/>
      <c r="V523" s="11">
        <f>IF(C523="","",IFERROR(INDEX(Catalogo!$C$5:$C$129,MATCH(C523,Catalogo!$A$5:$A$129,0)),"Código no existe"))</f>
        <v/>
      </c>
      <c r="W523" s="11">
        <f>IF(C523="","",IFERROR(INDEX(Catalogo!$G$5:$G$129,MATCH(C523,Catalogo!$A$5:$A$129,0)),""))</f>
        <v/>
      </c>
      <c r="X523" s="12">
        <f>IF(C523="","",IF(ISNUMBER(F523),F523,IF(AND(ISNUMBER(D523),ISNUMBER(E523),E523&gt;0),D523/E523*IF(W523="%",100,1),IF(ISNUMBER(D523),D523,""))))</f>
        <v/>
      </c>
      <c r="Y523" s="11">
        <f>IF(C523="","",IF(A523="","Falta periodo",IF(COUNTIF(Listas!$A$2:$A$134,A523)=0,"Periodo no válido",IF(X523="","Falta valor",IF(I523="","Falta fuente: no se mostrará",IF(AND(J523="",K523=""),"Sin evidencia",IF(N523&lt;&gt;"Validado","Sin validar","OK")))))))</f>
        <v/>
      </c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9" t="n"/>
      <c r="N524" s="8" t="n"/>
      <c r="O524" s="8" t="n"/>
      <c r="P524" s="9" t="n"/>
      <c r="Q524" s="8" t="n"/>
      <c r="R524" s="8" t="n"/>
      <c r="S524" s="8" t="n"/>
      <c r="T524" s="8" t="n"/>
      <c r="U524" s="8" t="n"/>
      <c r="V524" s="11">
        <f>IF(C524="","",IFERROR(INDEX(Catalogo!$C$5:$C$129,MATCH(C524,Catalogo!$A$5:$A$129,0)),"Código no existe"))</f>
        <v/>
      </c>
      <c r="W524" s="11">
        <f>IF(C524="","",IFERROR(INDEX(Catalogo!$G$5:$G$129,MATCH(C524,Catalogo!$A$5:$A$129,0)),""))</f>
        <v/>
      </c>
      <c r="X524" s="12">
        <f>IF(C524="","",IF(ISNUMBER(F524),F524,IF(AND(ISNUMBER(D524),ISNUMBER(E524),E524&gt;0),D524/E524*IF(W524="%",100,1),IF(ISNUMBER(D524),D524,""))))</f>
        <v/>
      </c>
      <c r="Y524" s="11">
        <f>IF(C524="","",IF(A524="","Falta periodo",IF(COUNTIF(Listas!$A$2:$A$134,A524)=0,"Periodo no válido",IF(X524="","Falta valor",IF(I524="","Falta fuente: no se mostrará",IF(AND(J524="",K524=""),"Sin evidencia",IF(N524&lt;&gt;"Validado","Sin validar","OK")))))))</f>
        <v/>
      </c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9" t="n"/>
      <c r="N525" s="8" t="n"/>
      <c r="O525" s="8" t="n"/>
      <c r="P525" s="9" t="n"/>
      <c r="Q525" s="8" t="n"/>
      <c r="R525" s="8" t="n"/>
      <c r="S525" s="8" t="n"/>
      <c r="T525" s="8" t="n"/>
      <c r="U525" s="8" t="n"/>
      <c r="V525" s="11">
        <f>IF(C525="","",IFERROR(INDEX(Catalogo!$C$5:$C$129,MATCH(C525,Catalogo!$A$5:$A$129,0)),"Código no existe"))</f>
        <v/>
      </c>
      <c r="W525" s="11">
        <f>IF(C525="","",IFERROR(INDEX(Catalogo!$G$5:$G$129,MATCH(C525,Catalogo!$A$5:$A$129,0)),""))</f>
        <v/>
      </c>
      <c r="X525" s="12">
        <f>IF(C525="","",IF(ISNUMBER(F525),F525,IF(AND(ISNUMBER(D525),ISNUMBER(E525),E525&gt;0),D525/E525*IF(W525="%",100,1),IF(ISNUMBER(D525),D525,""))))</f>
        <v/>
      </c>
      <c r="Y525" s="11">
        <f>IF(C525="","",IF(A525="","Falta periodo",IF(COUNTIF(Listas!$A$2:$A$134,A525)=0,"Periodo no válido",IF(X525="","Falta valor",IF(I525="","Falta fuente: no se mostrará",IF(AND(J525="",K525=""),"Sin evidencia",IF(N525&lt;&gt;"Validado","Sin validar","OK")))))))</f>
        <v/>
      </c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9" t="n"/>
      <c r="N526" s="8" t="n"/>
      <c r="O526" s="8" t="n"/>
      <c r="P526" s="9" t="n"/>
      <c r="Q526" s="8" t="n"/>
      <c r="R526" s="8" t="n"/>
      <c r="S526" s="8" t="n"/>
      <c r="T526" s="8" t="n"/>
      <c r="U526" s="8" t="n"/>
      <c r="V526" s="11">
        <f>IF(C526="","",IFERROR(INDEX(Catalogo!$C$5:$C$129,MATCH(C526,Catalogo!$A$5:$A$129,0)),"Código no existe"))</f>
        <v/>
      </c>
      <c r="W526" s="11">
        <f>IF(C526="","",IFERROR(INDEX(Catalogo!$G$5:$G$129,MATCH(C526,Catalogo!$A$5:$A$129,0)),""))</f>
        <v/>
      </c>
      <c r="X526" s="12">
        <f>IF(C526="","",IF(ISNUMBER(F526),F526,IF(AND(ISNUMBER(D526),ISNUMBER(E526),E526&gt;0),D526/E526*IF(W526="%",100,1),IF(ISNUMBER(D526),D526,""))))</f>
        <v/>
      </c>
      <c r="Y526" s="11">
        <f>IF(C526="","",IF(A526="","Falta periodo",IF(COUNTIF(Listas!$A$2:$A$134,A526)=0,"Periodo no válido",IF(X526="","Falta valor",IF(I526="","Falta fuente: no se mostrará",IF(AND(J526="",K526=""),"Sin evidencia",IF(N526&lt;&gt;"Validado","Sin validar","OK")))))))</f>
        <v/>
      </c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9" t="n"/>
      <c r="N527" s="8" t="n"/>
      <c r="O527" s="8" t="n"/>
      <c r="P527" s="9" t="n"/>
      <c r="Q527" s="8" t="n"/>
      <c r="R527" s="8" t="n"/>
      <c r="S527" s="8" t="n"/>
      <c r="T527" s="8" t="n"/>
      <c r="U527" s="8" t="n"/>
      <c r="V527" s="11">
        <f>IF(C527="","",IFERROR(INDEX(Catalogo!$C$5:$C$129,MATCH(C527,Catalogo!$A$5:$A$129,0)),"Código no existe"))</f>
        <v/>
      </c>
      <c r="W527" s="11">
        <f>IF(C527="","",IFERROR(INDEX(Catalogo!$G$5:$G$129,MATCH(C527,Catalogo!$A$5:$A$129,0)),""))</f>
        <v/>
      </c>
      <c r="X527" s="12">
        <f>IF(C527="","",IF(ISNUMBER(F527),F527,IF(AND(ISNUMBER(D527),ISNUMBER(E527),E527&gt;0),D527/E527*IF(W527="%",100,1),IF(ISNUMBER(D527),D527,""))))</f>
        <v/>
      </c>
      <c r="Y527" s="11">
        <f>IF(C527="","",IF(A527="","Falta periodo",IF(COUNTIF(Listas!$A$2:$A$134,A527)=0,"Periodo no válido",IF(X527="","Falta valor",IF(I527="","Falta fuente: no se mostrará",IF(AND(J527="",K527=""),"Sin evidencia",IF(N527&lt;&gt;"Validado","Sin validar","OK")))))))</f>
        <v/>
      </c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9" t="n"/>
      <c r="N528" s="8" t="n"/>
      <c r="O528" s="8" t="n"/>
      <c r="P528" s="9" t="n"/>
      <c r="Q528" s="8" t="n"/>
      <c r="R528" s="8" t="n"/>
      <c r="S528" s="8" t="n"/>
      <c r="T528" s="8" t="n"/>
      <c r="U528" s="8" t="n"/>
      <c r="V528" s="11">
        <f>IF(C528="","",IFERROR(INDEX(Catalogo!$C$5:$C$129,MATCH(C528,Catalogo!$A$5:$A$129,0)),"Código no existe"))</f>
        <v/>
      </c>
      <c r="W528" s="11">
        <f>IF(C528="","",IFERROR(INDEX(Catalogo!$G$5:$G$129,MATCH(C528,Catalogo!$A$5:$A$129,0)),""))</f>
        <v/>
      </c>
      <c r="X528" s="12">
        <f>IF(C528="","",IF(ISNUMBER(F528),F528,IF(AND(ISNUMBER(D528),ISNUMBER(E528),E528&gt;0),D528/E528*IF(W528="%",100,1),IF(ISNUMBER(D528),D528,""))))</f>
        <v/>
      </c>
      <c r="Y528" s="11">
        <f>IF(C528="","",IF(A528="","Falta periodo",IF(COUNTIF(Listas!$A$2:$A$134,A528)=0,"Periodo no válido",IF(X528="","Falta valor",IF(I528="","Falta fuente: no se mostrará",IF(AND(J528="",K528=""),"Sin evidencia",IF(N528&lt;&gt;"Validado","Sin validar","OK")))))))</f>
        <v/>
      </c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9" t="n"/>
      <c r="N529" s="8" t="n"/>
      <c r="O529" s="8" t="n"/>
      <c r="P529" s="9" t="n"/>
      <c r="Q529" s="8" t="n"/>
      <c r="R529" s="8" t="n"/>
      <c r="S529" s="8" t="n"/>
      <c r="T529" s="8" t="n"/>
      <c r="U529" s="8" t="n"/>
      <c r="V529" s="11">
        <f>IF(C529="","",IFERROR(INDEX(Catalogo!$C$5:$C$129,MATCH(C529,Catalogo!$A$5:$A$129,0)),"Código no existe"))</f>
        <v/>
      </c>
      <c r="W529" s="11">
        <f>IF(C529="","",IFERROR(INDEX(Catalogo!$G$5:$G$129,MATCH(C529,Catalogo!$A$5:$A$129,0)),""))</f>
        <v/>
      </c>
      <c r="X529" s="12">
        <f>IF(C529="","",IF(ISNUMBER(F529),F529,IF(AND(ISNUMBER(D529),ISNUMBER(E529),E529&gt;0),D529/E529*IF(W529="%",100,1),IF(ISNUMBER(D529),D529,""))))</f>
        <v/>
      </c>
      <c r="Y529" s="11">
        <f>IF(C529="","",IF(A529="","Falta periodo",IF(COUNTIF(Listas!$A$2:$A$134,A529)=0,"Periodo no válido",IF(X529="","Falta valor",IF(I529="","Falta fuente: no se mostrará",IF(AND(J529="",K529=""),"Sin evidencia",IF(N529&lt;&gt;"Validado","Sin validar","OK")))))))</f>
        <v/>
      </c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9" t="n"/>
      <c r="N530" s="8" t="n"/>
      <c r="O530" s="8" t="n"/>
      <c r="P530" s="9" t="n"/>
      <c r="Q530" s="8" t="n"/>
      <c r="R530" s="8" t="n"/>
      <c r="S530" s="8" t="n"/>
      <c r="T530" s="8" t="n"/>
      <c r="U530" s="8" t="n"/>
      <c r="V530" s="11">
        <f>IF(C530="","",IFERROR(INDEX(Catalogo!$C$5:$C$129,MATCH(C530,Catalogo!$A$5:$A$129,0)),"Código no existe"))</f>
        <v/>
      </c>
      <c r="W530" s="11">
        <f>IF(C530="","",IFERROR(INDEX(Catalogo!$G$5:$G$129,MATCH(C530,Catalogo!$A$5:$A$129,0)),""))</f>
        <v/>
      </c>
      <c r="X530" s="12">
        <f>IF(C530="","",IF(ISNUMBER(F530),F530,IF(AND(ISNUMBER(D530),ISNUMBER(E530),E530&gt;0),D530/E530*IF(W530="%",100,1),IF(ISNUMBER(D530),D530,""))))</f>
        <v/>
      </c>
      <c r="Y530" s="11">
        <f>IF(C530="","",IF(A530="","Falta periodo",IF(COUNTIF(Listas!$A$2:$A$134,A530)=0,"Periodo no válido",IF(X530="","Falta valor",IF(I530="","Falta fuente: no se mostrará",IF(AND(J530="",K530=""),"Sin evidencia",IF(N530&lt;&gt;"Validado","Sin validar","OK")))))))</f>
        <v/>
      </c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9" t="n"/>
      <c r="N531" s="8" t="n"/>
      <c r="O531" s="8" t="n"/>
      <c r="P531" s="9" t="n"/>
      <c r="Q531" s="8" t="n"/>
      <c r="R531" s="8" t="n"/>
      <c r="S531" s="8" t="n"/>
      <c r="T531" s="8" t="n"/>
      <c r="U531" s="8" t="n"/>
      <c r="V531" s="11">
        <f>IF(C531="","",IFERROR(INDEX(Catalogo!$C$5:$C$129,MATCH(C531,Catalogo!$A$5:$A$129,0)),"Código no existe"))</f>
        <v/>
      </c>
      <c r="W531" s="11">
        <f>IF(C531="","",IFERROR(INDEX(Catalogo!$G$5:$G$129,MATCH(C531,Catalogo!$A$5:$A$129,0)),""))</f>
        <v/>
      </c>
      <c r="X531" s="12">
        <f>IF(C531="","",IF(ISNUMBER(F531),F531,IF(AND(ISNUMBER(D531),ISNUMBER(E531),E531&gt;0),D531/E531*IF(W531="%",100,1),IF(ISNUMBER(D531),D531,""))))</f>
        <v/>
      </c>
      <c r="Y531" s="11">
        <f>IF(C531="","",IF(A531="","Falta periodo",IF(COUNTIF(Listas!$A$2:$A$134,A531)=0,"Periodo no válido",IF(X531="","Falta valor",IF(I531="","Falta fuente: no se mostrará",IF(AND(J531="",K531=""),"Sin evidencia",IF(N531&lt;&gt;"Validado","Sin validar","OK")))))))</f>
        <v/>
      </c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9" t="n"/>
      <c r="N532" s="8" t="n"/>
      <c r="O532" s="8" t="n"/>
      <c r="P532" s="9" t="n"/>
      <c r="Q532" s="8" t="n"/>
      <c r="R532" s="8" t="n"/>
      <c r="S532" s="8" t="n"/>
      <c r="T532" s="8" t="n"/>
      <c r="U532" s="8" t="n"/>
      <c r="V532" s="11">
        <f>IF(C532="","",IFERROR(INDEX(Catalogo!$C$5:$C$129,MATCH(C532,Catalogo!$A$5:$A$129,0)),"Código no existe"))</f>
        <v/>
      </c>
      <c r="W532" s="11">
        <f>IF(C532="","",IFERROR(INDEX(Catalogo!$G$5:$G$129,MATCH(C532,Catalogo!$A$5:$A$129,0)),""))</f>
        <v/>
      </c>
      <c r="X532" s="12">
        <f>IF(C532="","",IF(ISNUMBER(F532),F532,IF(AND(ISNUMBER(D532),ISNUMBER(E532),E532&gt;0),D532/E532*IF(W532="%",100,1),IF(ISNUMBER(D532),D532,""))))</f>
        <v/>
      </c>
      <c r="Y532" s="11">
        <f>IF(C532="","",IF(A532="","Falta periodo",IF(COUNTIF(Listas!$A$2:$A$134,A532)=0,"Periodo no válido",IF(X532="","Falta valor",IF(I532="","Falta fuente: no se mostrará",IF(AND(J532="",K532=""),"Sin evidencia",IF(N532&lt;&gt;"Validado","Sin validar","OK")))))))</f>
        <v/>
      </c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9" t="n"/>
      <c r="N533" s="8" t="n"/>
      <c r="O533" s="8" t="n"/>
      <c r="P533" s="9" t="n"/>
      <c r="Q533" s="8" t="n"/>
      <c r="R533" s="8" t="n"/>
      <c r="S533" s="8" t="n"/>
      <c r="T533" s="8" t="n"/>
      <c r="U533" s="8" t="n"/>
      <c r="V533" s="11">
        <f>IF(C533="","",IFERROR(INDEX(Catalogo!$C$5:$C$129,MATCH(C533,Catalogo!$A$5:$A$129,0)),"Código no existe"))</f>
        <v/>
      </c>
      <c r="W533" s="11">
        <f>IF(C533="","",IFERROR(INDEX(Catalogo!$G$5:$G$129,MATCH(C533,Catalogo!$A$5:$A$129,0)),""))</f>
        <v/>
      </c>
      <c r="X533" s="12">
        <f>IF(C533="","",IF(ISNUMBER(F533),F533,IF(AND(ISNUMBER(D533),ISNUMBER(E533),E533&gt;0),D533/E533*IF(W533="%",100,1),IF(ISNUMBER(D533),D533,""))))</f>
        <v/>
      </c>
      <c r="Y533" s="11">
        <f>IF(C533="","",IF(A533="","Falta periodo",IF(COUNTIF(Listas!$A$2:$A$134,A533)=0,"Periodo no válido",IF(X533="","Falta valor",IF(I533="","Falta fuente: no se mostrará",IF(AND(J533="",K533=""),"Sin evidencia",IF(N533&lt;&gt;"Validado","Sin validar","OK")))))))</f>
        <v/>
      </c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9" t="n"/>
      <c r="N534" s="8" t="n"/>
      <c r="O534" s="8" t="n"/>
      <c r="P534" s="9" t="n"/>
      <c r="Q534" s="8" t="n"/>
      <c r="R534" s="8" t="n"/>
      <c r="S534" s="8" t="n"/>
      <c r="T534" s="8" t="n"/>
      <c r="U534" s="8" t="n"/>
      <c r="V534" s="11">
        <f>IF(C534="","",IFERROR(INDEX(Catalogo!$C$5:$C$129,MATCH(C534,Catalogo!$A$5:$A$129,0)),"Código no existe"))</f>
        <v/>
      </c>
      <c r="W534" s="11">
        <f>IF(C534="","",IFERROR(INDEX(Catalogo!$G$5:$G$129,MATCH(C534,Catalogo!$A$5:$A$129,0)),""))</f>
        <v/>
      </c>
      <c r="X534" s="12">
        <f>IF(C534="","",IF(ISNUMBER(F534),F534,IF(AND(ISNUMBER(D534),ISNUMBER(E534),E534&gt;0),D534/E534*IF(W534="%",100,1),IF(ISNUMBER(D534),D534,""))))</f>
        <v/>
      </c>
      <c r="Y534" s="11">
        <f>IF(C534="","",IF(A534="","Falta periodo",IF(COUNTIF(Listas!$A$2:$A$134,A534)=0,"Periodo no válido",IF(X534="","Falta valor",IF(I534="","Falta fuente: no se mostrará",IF(AND(J534="",K534=""),"Sin evidencia",IF(N534&lt;&gt;"Validado","Sin validar","OK")))))))</f>
        <v/>
      </c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9" t="n"/>
      <c r="N535" s="8" t="n"/>
      <c r="O535" s="8" t="n"/>
      <c r="P535" s="9" t="n"/>
      <c r="Q535" s="8" t="n"/>
      <c r="R535" s="8" t="n"/>
      <c r="S535" s="8" t="n"/>
      <c r="T535" s="8" t="n"/>
      <c r="U535" s="8" t="n"/>
      <c r="V535" s="11">
        <f>IF(C535="","",IFERROR(INDEX(Catalogo!$C$5:$C$129,MATCH(C535,Catalogo!$A$5:$A$129,0)),"Código no existe"))</f>
        <v/>
      </c>
      <c r="W535" s="11">
        <f>IF(C535="","",IFERROR(INDEX(Catalogo!$G$5:$G$129,MATCH(C535,Catalogo!$A$5:$A$129,0)),""))</f>
        <v/>
      </c>
      <c r="X535" s="12">
        <f>IF(C535="","",IF(ISNUMBER(F535),F535,IF(AND(ISNUMBER(D535),ISNUMBER(E535),E535&gt;0),D535/E535*IF(W535="%",100,1),IF(ISNUMBER(D535),D535,""))))</f>
        <v/>
      </c>
      <c r="Y535" s="11">
        <f>IF(C535="","",IF(A535="","Falta periodo",IF(COUNTIF(Listas!$A$2:$A$134,A535)=0,"Periodo no válido",IF(X535="","Falta valor",IF(I535="","Falta fuente: no se mostrará",IF(AND(J535="",K535=""),"Sin evidencia",IF(N535&lt;&gt;"Validado","Sin validar","OK")))))))</f>
        <v/>
      </c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9" t="n"/>
      <c r="N536" s="8" t="n"/>
      <c r="O536" s="8" t="n"/>
      <c r="P536" s="9" t="n"/>
      <c r="Q536" s="8" t="n"/>
      <c r="R536" s="8" t="n"/>
      <c r="S536" s="8" t="n"/>
      <c r="T536" s="8" t="n"/>
      <c r="U536" s="8" t="n"/>
      <c r="V536" s="11">
        <f>IF(C536="","",IFERROR(INDEX(Catalogo!$C$5:$C$129,MATCH(C536,Catalogo!$A$5:$A$129,0)),"Código no existe"))</f>
        <v/>
      </c>
      <c r="W536" s="11">
        <f>IF(C536="","",IFERROR(INDEX(Catalogo!$G$5:$G$129,MATCH(C536,Catalogo!$A$5:$A$129,0)),""))</f>
        <v/>
      </c>
      <c r="X536" s="12">
        <f>IF(C536="","",IF(ISNUMBER(F536),F536,IF(AND(ISNUMBER(D536),ISNUMBER(E536),E536&gt;0),D536/E536*IF(W536="%",100,1),IF(ISNUMBER(D536),D536,""))))</f>
        <v/>
      </c>
      <c r="Y536" s="11">
        <f>IF(C536="","",IF(A536="","Falta periodo",IF(COUNTIF(Listas!$A$2:$A$134,A536)=0,"Periodo no válido",IF(X536="","Falta valor",IF(I536="","Falta fuente: no se mostrará",IF(AND(J536="",K536=""),"Sin evidencia",IF(N536&lt;&gt;"Validado","Sin validar","OK")))))))</f>
        <v/>
      </c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9" t="n"/>
      <c r="N537" s="8" t="n"/>
      <c r="O537" s="8" t="n"/>
      <c r="P537" s="9" t="n"/>
      <c r="Q537" s="8" t="n"/>
      <c r="R537" s="8" t="n"/>
      <c r="S537" s="8" t="n"/>
      <c r="T537" s="8" t="n"/>
      <c r="U537" s="8" t="n"/>
      <c r="V537" s="11">
        <f>IF(C537="","",IFERROR(INDEX(Catalogo!$C$5:$C$129,MATCH(C537,Catalogo!$A$5:$A$129,0)),"Código no existe"))</f>
        <v/>
      </c>
      <c r="W537" s="11">
        <f>IF(C537="","",IFERROR(INDEX(Catalogo!$G$5:$G$129,MATCH(C537,Catalogo!$A$5:$A$129,0)),""))</f>
        <v/>
      </c>
      <c r="X537" s="12">
        <f>IF(C537="","",IF(ISNUMBER(F537),F537,IF(AND(ISNUMBER(D537),ISNUMBER(E537),E537&gt;0),D537/E537*IF(W537="%",100,1),IF(ISNUMBER(D537),D537,""))))</f>
        <v/>
      </c>
      <c r="Y537" s="11">
        <f>IF(C537="","",IF(A537="","Falta periodo",IF(COUNTIF(Listas!$A$2:$A$134,A537)=0,"Periodo no válido",IF(X537="","Falta valor",IF(I537="","Falta fuente: no se mostrará",IF(AND(J537="",K537=""),"Sin evidencia",IF(N537&lt;&gt;"Validado","Sin validar","OK")))))))</f>
        <v/>
      </c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9" t="n"/>
      <c r="N538" s="8" t="n"/>
      <c r="O538" s="8" t="n"/>
      <c r="P538" s="9" t="n"/>
      <c r="Q538" s="8" t="n"/>
      <c r="R538" s="8" t="n"/>
      <c r="S538" s="8" t="n"/>
      <c r="T538" s="8" t="n"/>
      <c r="U538" s="8" t="n"/>
      <c r="V538" s="11">
        <f>IF(C538="","",IFERROR(INDEX(Catalogo!$C$5:$C$129,MATCH(C538,Catalogo!$A$5:$A$129,0)),"Código no existe"))</f>
        <v/>
      </c>
      <c r="W538" s="11">
        <f>IF(C538="","",IFERROR(INDEX(Catalogo!$G$5:$G$129,MATCH(C538,Catalogo!$A$5:$A$129,0)),""))</f>
        <v/>
      </c>
      <c r="X538" s="12">
        <f>IF(C538="","",IF(ISNUMBER(F538),F538,IF(AND(ISNUMBER(D538),ISNUMBER(E538),E538&gt;0),D538/E538*IF(W538="%",100,1),IF(ISNUMBER(D538),D538,""))))</f>
        <v/>
      </c>
      <c r="Y538" s="11">
        <f>IF(C538="","",IF(A538="","Falta periodo",IF(COUNTIF(Listas!$A$2:$A$134,A538)=0,"Periodo no válido",IF(X538="","Falta valor",IF(I538="","Falta fuente: no se mostrará",IF(AND(J538="",K538=""),"Sin evidencia",IF(N538&lt;&gt;"Validado","Sin validar","OK")))))))</f>
        <v/>
      </c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9" t="n"/>
      <c r="N539" s="8" t="n"/>
      <c r="O539" s="8" t="n"/>
      <c r="P539" s="9" t="n"/>
      <c r="Q539" s="8" t="n"/>
      <c r="R539" s="8" t="n"/>
      <c r="S539" s="8" t="n"/>
      <c r="T539" s="8" t="n"/>
      <c r="U539" s="8" t="n"/>
      <c r="V539" s="11">
        <f>IF(C539="","",IFERROR(INDEX(Catalogo!$C$5:$C$129,MATCH(C539,Catalogo!$A$5:$A$129,0)),"Código no existe"))</f>
        <v/>
      </c>
      <c r="W539" s="11">
        <f>IF(C539="","",IFERROR(INDEX(Catalogo!$G$5:$G$129,MATCH(C539,Catalogo!$A$5:$A$129,0)),""))</f>
        <v/>
      </c>
      <c r="X539" s="12">
        <f>IF(C539="","",IF(ISNUMBER(F539),F539,IF(AND(ISNUMBER(D539),ISNUMBER(E539),E539&gt;0),D539/E539*IF(W539="%",100,1),IF(ISNUMBER(D539),D539,""))))</f>
        <v/>
      </c>
      <c r="Y539" s="11">
        <f>IF(C539="","",IF(A539="","Falta periodo",IF(COUNTIF(Listas!$A$2:$A$134,A539)=0,"Periodo no válido",IF(X539="","Falta valor",IF(I539="","Falta fuente: no se mostrará",IF(AND(J539="",K539=""),"Sin evidencia",IF(N539&lt;&gt;"Validado","Sin validar","OK")))))))</f>
        <v/>
      </c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9" t="n"/>
      <c r="N540" s="8" t="n"/>
      <c r="O540" s="8" t="n"/>
      <c r="P540" s="9" t="n"/>
      <c r="Q540" s="8" t="n"/>
      <c r="R540" s="8" t="n"/>
      <c r="S540" s="8" t="n"/>
      <c r="T540" s="8" t="n"/>
      <c r="U540" s="8" t="n"/>
      <c r="V540" s="11">
        <f>IF(C540="","",IFERROR(INDEX(Catalogo!$C$5:$C$129,MATCH(C540,Catalogo!$A$5:$A$129,0)),"Código no existe"))</f>
        <v/>
      </c>
      <c r="W540" s="11">
        <f>IF(C540="","",IFERROR(INDEX(Catalogo!$G$5:$G$129,MATCH(C540,Catalogo!$A$5:$A$129,0)),""))</f>
        <v/>
      </c>
      <c r="X540" s="12">
        <f>IF(C540="","",IF(ISNUMBER(F540),F540,IF(AND(ISNUMBER(D540),ISNUMBER(E540),E540&gt;0),D540/E540*IF(W540="%",100,1),IF(ISNUMBER(D540),D540,""))))</f>
        <v/>
      </c>
      <c r="Y540" s="11">
        <f>IF(C540="","",IF(A540="","Falta periodo",IF(COUNTIF(Listas!$A$2:$A$134,A540)=0,"Periodo no válido",IF(X540="","Falta valor",IF(I540="","Falta fuente: no se mostrará",IF(AND(J540="",K540=""),"Sin evidencia",IF(N540&lt;&gt;"Validado","Sin validar","OK")))))))</f>
        <v/>
      </c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9" t="n"/>
      <c r="N541" s="8" t="n"/>
      <c r="O541" s="8" t="n"/>
      <c r="P541" s="9" t="n"/>
      <c r="Q541" s="8" t="n"/>
      <c r="R541" s="8" t="n"/>
      <c r="S541" s="8" t="n"/>
      <c r="T541" s="8" t="n"/>
      <c r="U541" s="8" t="n"/>
      <c r="V541" s="11">
        <f>IF(C541="","",IFERROR(INDEX(Catalogo!$C$5:$C$129,MATCH(C541,Catalogo!$A$5:$A$129,0)),"Código no existe"))</f>
        <v/>
      </c>
      <c r="W541" s="11">
        <f>IF(C541="","",IFERROR(INDEX(Catalogo!$G$5:$G$129,MATCH(C541,Catalogo!$A$5:$A$129,0)),""))</f>
        <v/>
      </c>
      <c r="X541" s="12">
        <f>IF(C541="","",IF(ISNUMBER(F541),F541,IF(AND(ISNUMBER(D541),ISNUMBER(E541),E541&gt;0),D541/E541*IF(W541="%",100,1),IF(ISNUMBER(D541),D541,""))))</f>
        <v/>
      </c>
      <c r="Y541" s="11">
        <f>IF(C541="","",IF(A541="","Falta periodo",IF(COUNTIF(Listas!$A$2:$A$134,A541)=0,"Periodo no válido",IF(X541="","Falta valor",IF(I541="","Falta fuente: no se mostrará",IF(AND(J541="",K541=""),"Sin evidencia",IF(N541&lt;&gt;"Validado","Sin validar","OK")))))))</f>
        <v/>
      </c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9" t="n"/>
      <c r="N542" s="8" t="n"/>
      <c r="O542" s="8" t="n"/>
      <c r="P542" s="9" t="n"/>
      <c r="Q542" s="8" t="n"/>
      <c r="R542" s="8" t="n"/>
      <c r="S542" s="8" t="n"/>
      <c r="T542" s="8" t="n"/>
      <c r="U542" s="8" t="n"/>
      <c r="V542" s="11">
        <f>IF(C542="","",IFERROR(INDEX(Catalogo!$C$5:$C$129,MATCH(C542,Catalogo!$A$5:$A$129,0)),"Código no existe"))</f>
        <v/>
      </c>
      <c r="W542" s="11">
        <f>IF(C542="","",IFERROR(INDEX(Catalogo!$G$5:$G$129,MATCH(C542,Catalogo!$A$5:$A$129,0)),""))</f>
        <v/>
      </c>
      <c r="X542" s="12">
        <f>IF(C542="","",IF(ISNUMBER(F542),F542,IF(AND(ISNUMBER(D542),ISNUMBER(E542),E542&gt;0),D542/E542*IF(W542="%",100,1),IF(ISNUMBER(D542),D542,""))))</f>
        <v/>
      </c>
      <c r="Y542" s="11">
        <f>IF(C542="","",IF(A542="","Falta periodo",IF(COUNTIF(Listas!$A$2:$A$134,A542)=0,"Periodo no válido",IF(X542="","Falta valor",IF(I542="","Falta fuente: no se mostrará",IF(AND(J542="",K542=""),"Sin evidencia",IF(N542&lt;&gt;"Validado","Sin validar","OK")))))))</f>
        <v/>
      </c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9" t="n"/>
      <c r="N543" s="8" t="n"/>
      <c r="O543" s="8" t="n"/>
      <c r="P543" s="9" t="n"/>
      <c r="Q543" s="8" t="n"/>
      <c r="R543" s="8" t="n"/>
      <c r="S543" s="8" t="n"/>
      <c r="T543" s="8" t="n"/>
      <c r="U543" s="8" t="n"/>
      <c r="V543" s="11">
        <f>IF(C543="","",IFERROR(INDEX(Catalogo!$C$5:$C$129,MATCH(C543,Catalogo!$A$5:$A$129,0)),"Código no existe"))</f>
        <v/>
      </c>
      <c r="W543" s="11">
        <f>IF(C543="","",IFERROR(INDEX(Catalogo!$G$5:$G$129,MATCH(C543,Catalogo!$A$5:$A$129,0)),""))</f>
        <v/>
      </c>
      <c r="X543" s="12">
        <f>IF(C543="","",IF(ISNUMBER(F543),F543,IF(AND(ISNUMBER(D543),ISNUMBER(E543),E543&gt;0),D543/E543*IF(W543="%",100,1),IF(ISNUMBER(D543),D543,""))))</f>
        <v/>
      </c>
      <c r="Y543" s="11">
        <f>IF(C543="","",IF(A543="","Falta periodo",IF(COUNTIF(Listas!$A$2:$A$134,A543)=0,"Periodo no válido",IF(X543="","Falta valor",IF(I543="","Falta fuente: no se mostrará",IF(AND(J543="",K543=""),"Sin evidencia",IF(N543&lt;&gt;"Validado","Sin validar","OK")))))))</f>
        <v/>
      </c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9" t="n"/>
      <c r="N544" s="8" t="n"/>
      <c r="O544" s="8" t="n"/>
      <c r="P544" s="9" t="n"/>
      <c r="Q544" s="8" t="n"/>
      <c r="R544" s="8" t="n"/>
      <c r="S544" s="8" t="n"/>
      <c r="T544" s="8" t="n"/>
      <c r="U544" s="8" t="n"/>
      <c r="V544" s="11">
        <f>IF(C544="","",IFERROR(INDEX(Catalogo!$C$5:$C$129,MATCH(C544,Catalogo!$A$5:$A$129,0)),"Código no existe"))</f>
        <v/>
      </c>
      <c r="W544" s="11">
        <f>IF(C544="","",IFERROR(INDEX(Catalogo!$G$5:$G$129,MATCH(C544,Catalogo!$A$5:$A$129,0)),""))</f>
        <v/>
      </c>
      <c r="X544" s="12">
        <f>IF(C544="","",IF(ISNUMBER(F544),F544,IF(AND(ISNUMBER(D544),ISNUMBER(E544),E544&gt;0),D544/E544*IF(W544="%",100,1),IF(ISNUMBER(D544),D544,""))))</f>
        <v/>
      </c>
      <c r="Y544" s="11">
        <f>IF(C544="","",IF(A544="","Falta periodo",IF(COUNTIF(Listas!$A$2:$A$134,A544)=0,"Periodo no válido",IF(X544="","Falta valor",IF(I544="","Falta fuente: no se mostrará",IF(AND(J544="",K544=""),"Sin evidencia",IF(N544&lt;&gt;"Validado","Sin validar","OK")))))))</f>
        <v/>
      </c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9" t="n"/>
      <c r="N545" s="8" t="n"/>
      <c r="O545" s="8" t="n"/>
      <c r="P545" s="9" t="n"/>
      <c r="Q545" s="8" t="n"/>
      <c r="R545" s="8" t="n"/>
      <c r="S545" s="8" t="n"/>
      <c r="T545" s="8" t="n"/>
      <c r="U545" s="8" t="n"/>
      <c r="V545" s="11">
        <f>IF(C545="","",IFERROR(INDEX(Catalogo!$C$5:$C$129,MATCH(C545,Catalogo!$A$5:$A$129,0)),"Código no existe"))</f>
        <v/>
      </c>
      <c r="W545" s="11">
        <f>IF(C545="","",IFERROR(INDEX(Catalogo!$G$5:$G$129,MATCH(C545,Catalogo!$A$5:$A$129,0)),""))</f>
        <v/>
      </c>
      <c r="X545" s="12">
        <f>IF(C545="","",IF(ISNUMBER(F545),F545,IF(AND(ISNUMBER(D545),ISNUMBER(E545),E545&gt;0),D545/E545*IF(W545="%",100,1),IF(ISNUMBER(D545),D545,""))))</f>
        <v/>
      </c>
      <c r="Y545" s="11">
        <f>IF(C545="","",IF(A545="","Falta periodo",IF(COUNTIF(Listas!$A$2:$A$134,A545)=0,"Periodo no válido",IF(X545="","Falta valor",IF(I545="","Falta fuente: no se mostrará",IF(AND(J545="",K545=""),"Sin evidencia",IF(N545&lt;&gt;"Validado","Sin validar","OK")))))))</f>
        <v/>
      </c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9" t="n"/>
      <c r="N546" s="8" t="n"/>
      <c r="O546" s="8" t="n"/>
      <c r="P546" s="9" t="n"/>
      <c r="Q546" s="8" t="n"/>
      <c r="R546" s="8" t="n"/>
      <c r="S546" s="8" t="n"/>
      <c r="T546" s="8" t="n"/>
      <c r="U546" s="8" t="n"/>
      <c r="V546" s="11">
        <f>IF(C546="","",IFERROR(INDEX(Catalogo!$C$5:$C$129,MATCH(C546,Catalogo!$A$5:$A$129,0)),"Código no existe"))</f>
        <v/>
      </c>
      <c r="W546" s="11">
        <f>IF(C546="","",IFERROR(INDEX(Catalogo!$G$5:$G$129,MATCH(C546,Catalogo!$A$5:$A$129,0)),""))</f>
        <v/>
      </c>
      <c r="X546" s="12">
        <f>IF(C546="","",IF(ISNUMBER(F546),F546,IF(AND(ISNUMBER(D546),ISNUMBER(E546),E546&gt;0),D546/E546*IF(W546="%",100,1),IF(ISNUMBER(D546),D546,""))))</f>
        <v/>
      </c>
      <c r="Y546" s="11">
        <f>IF(C546="","",IF(A546="","Falta periodo",IF(COUNTIF(Listas!$A$2:$A$134,A546)=0,"Periodo no válido",IF(X546="","Falta valor",IF(I546="","Falta fuente: no se mostrará",IF(AND(J546="",K546=""),"Sin evidencia",IF(N546&lt;&gt;"Validado","Sin validar","OK")))))))</f>
        <v/>
      </c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9" t="n"/>
      <c r="N547" s="8" t="n"/>
      <c r="O547" s="8" t="n"/>
      <c r="P547" s="9" t="n"/>
      <c r="Q547" s="8" t="n"/>
      <c r="R547" s="8" t="n"/>
      <c r="S547" s="8" t="n"/>
      <c r="T547" s="8" t="n"/>
      <c r="U547" s="8" t="n"/>
      <c r="V547" s="11">
        <f>IF(C547="","",IFERROR(INDEX(Catalogo!$C$5:$C$129,MATCH(C547,Catalogo!$A$5:$A$129,0)),"Código no existe"))</f>
        <v/>
      </c>
      <c r="W547" s="11">
        <f>IF(C547="","",IFERROR(INDEX(Catalogo!$G$5:$G$129,MATCH(C547,Catalogo!$A$5:$A$129,0)),""))</f>
        <v/>
      </c>
      <c r="X547" s="12">
        <f>IF(C547="","",IF(ISNUMBER(F547),F547,IF(AND(ISNUMBER(D547),ISNUMBER(E547),E547&gt;0),D547/E547*IF(W547="%",100,1),IF(ISNUMBER(D547),D547,""))))</f>
        <v/>
      </c>
      <c r="Y547" s="11">
        <f>IF(C547="","",IF(A547="","Falta periodo",IF(COUNTIF(Listas!$A$2:$A$134,A547)=0,"Periodo no válido",IF(X547="","Falta valor",IF(I547="","Falta fuente: no se mostrará",IF(AND(J547="",K547=""),"Sin evidencia",IF(N547&lt;&gt;"Validado","Sin validar","OK")))))))</f>
        <v/>
      </c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9" t="n"/>
      <c r="N548" s="8" t="n"/>
      <c r="O548" s="8" t="n"/>
      <c r="P548" s="9" t="n"/>
      <c r="Q548" s="8" t="n"/>
      <c r="R548" s="8" t="n"/>
      <c r="S548" s="8" t="n"/>
      <c r="T548" s="8" t="n"/>
      <c r="U548" s="8" t="n"/>
      <c r="V548" s="11">
        <f>IF(C548="","",IFERROR(INDEX(Catalogo!$C$5:$C$129,MATCH(C548,Catalogo!$A$5:$A$129,0)),"Código no existe"))</f>
        <v/>
      </c>
      <c r="W548" s="11">
        <f>IF(C548="","",IFERROR(INDEX(Catalogo!$G$5:$G$129,MATCH(C548,Catalogo!$A$5:$A$129,0)),""))</f>
        <v/>
      </c>
      <c r="X548" s="12">
        <f>IF(C548="","",IF(ISNUMBER(F548),F548,IF(AND(ISNUMBER(D548),ISNUMBER(E548),E548&gt;0),D548/E548*IF(W548="%",100,1),IF(ISNUMBER(D548),D548,""))))</f>
        <v/>
      </c>
      <c r="Y548" s="11">
        <f>IF(C548="","",IF(A548="","Falta periodo",IF(COUNTIF(Listas!$A$2:$A$134,A548)=0,"Periodo no válido",IF(X548="","Falta valor",IF(I548="","Falta fuente: no se mostrará",IF(AND(J548="",K548=""),"Sin evidencia",IF(N548&lt;&gt;"Validado","Sin validar","OK")))))))</f>
        <v/>
      </c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9" t="n"/>
      <c r="N549" s="8" t="n"/>
      <c r="O549" s="8" t="n"/>
      <c r="P549" s="9" t="n"/>
      <c r="Q549" s="8" t="n"/>
      <c r="R549" s="8" t="n"/>
      <c r="S549" s="8" t="n"/>
      <c r="T549" s="8" t="n"/>
      <c r="U549" s="8" t="n"/>
      <c r="V549" s="11">
        <f>IF(C549="","",IFERROR(INDEX(Catalogo!$C$5:$C$129,MATCH(C549,Catalogo!$A$5:$A$129,0)),"Código no existe"))</f>
        <v/>
      </c>
      <c r="W549" s="11">
        <f>IF(C549="","",IFERROR(INDEX(Catalogo!$G$5:$G$129,MATCH(C549,Catalogo!$A$5:$A$129,0)),""))</f>
        <v/>
      </c>
      <c r="X549" s="12">
        <f>IF(C549="","",IF(ISNUMBER(F549),F549,IF(AND(ISNUMBER(D549),ISNUMBER(E549),E549&gt;0),D549/E549*IF(W549="%",100,1),IF(ISNUMBER(D549),D549,""))))</f>
        <v/>
      </c>
      <c r="Y549" s="11">
        <f>IF(C549="","",IF(A549="","Falta periodo",IF(COUNTIF(Listas!$A$2:$A$134,A549)=0,"Periodo no válido",IF(X549="","Falta valor",IF(I549="","Falta fuente: no se mostrará",IF(AND(J549="",K549=""),"Sin evidencia",IF(N549&lt;&gt;"Validado","Sin validar","OK")))))))</f>
        <v/>
      </c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9" t="n"/>
      <c r="N550" s="8" t="n"/>
      <c r="O550" s="8" t="n"/>
      <c r="P550" s="9" t="n"/>
      <c r="Q550" s="8" t="n"/>
      <c r="R550" s="8" t="n"/>
      <c r="S550" s="8" t="n"/>
      <c r="T550" s="8" t="n"/>
      <c r="U550" s="8" t="n"/>
      <c r="V550" s="11">
        <f>IF(C550="","",IFERROR(INDEX(Catalogo!$C$5:$C$129,MATCH(C550,Catalogo!$A$5:$A$129,0)),"Código no existe"))</f>
        <v/>
      </c>
      <c r="W550" s="11">
        <f>IF(C550="","",IFERROR(INDEX(Catalogo!$G$5:$G$129,MATCH(C550,Catalogo!$A$5:$A$129,0)),""))</f>
        <v/>
      </c>
      <c r="X550" s="12">
        <f>IF(C550="","",IF(ISNUMBER(F550),F550,IF(AND(ISNUMBER(D550),ISNUMBER(E550),E550&gt;0),D550/E550*IF(W550="%",100,1),IF(ISNUMBER(D550),D550,""))))</f>
        <v/>
      </c>
      <c r="Y550" s="11">
        <f>IF(C550="","",IF(A550="","Falta periodo",IF(COUNTIF(Listas!$A$2:$A$134,A550)=0,"Periodo no válido",IF(X550="","Falta valor",IF(I550="","Falta fuente: no se mostrará",IF(AND(J550="",K550=""),"Sin evidencia",IF(N550&lt;&gt;"Validado","Sin validar","OK")))))))</f>
        <v/>
      </c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9" t="n"/>
      <c r="N551" s="8" t="n"/>
      <c r="O551" s="8" t="n"/>
      <c r="P551" s="9" t="n"/>
      <c r="Q551" s="8" t="n"/>
      <c r="R551" s="8" t="n"/>
      <c r="S551" s="8" t="n"/>
      <c r="T551" s="8" t="n"/>
      <c r="U551" s="8" t="n"/>
      <c r="V551" s="11">
        <f>IF(C551="","",IFERROR(INDEX(Catalogo!$C$5:$C$129,MATCH(C551,Catalogo!$A$5:$A$129,0)),"Código no existe"))</f>
        <v/>
      </c>
      <c r="W551" s="11">
        <f>IF(C551="","",IFERROR(INDEX(Catalogo!$G$5:$G$129,MATCH(C551,Catalogo!$A$5:$A$129,0)),""))</f>
        <v/>
      </c>
      <c r="X551" s="12">
        <f>IF(C551="","",IF(ISNUMBER(F551),F551,IF(AND(ISNUMBER(D551),ISNUMBER(E551),E551&gt;0),D551/E551*IF(W551="%",100,1),IF(ISNUMBER(D551),D551,""))))</f>
        <v/>
      </c>
      <c r="Y551" s="11">
        <f>IF(C551="","",IF(A551="","Falta periodo",IF(COUNTIF(Listas!$A$2:$A$134,A551)=0,"Periodo no válido",IF(X551="","Falta valor",IF(I551="","Falta fuente: no se mostrará",IF(AND(J551="",K551=""),"Sin evidencia",IF(N551&lt;&gt;"Validado","Sin validar","OK")))))))</f>
        <v/>
      </c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9" t="n"/>
      <c r="N552" s="8" t="n"/>
      <c r="O552" s="8" t="n"/>
      <c r="P552" s="9" t="n"/>
      <c r="Q552" s="8" t="n"/>
      <c r="R552" s="8" t="n"/>
      <c r="S552" s="8" t="n"/>
      <c r="T552" s="8" t="n"/>
      <c r="U552" s="8" t="n"/>
      <c r="V552" s="11">
        <f>IF(C552="","",IFERROR(INDEX(Catalogo!$C$5:$C$129,MATCH(C552,Catalogo!$A$5:$A$129,0)),"Código no existe"))</f>
        <v/>
      </c>
      <c r="W552" s="11">
        <f>IF(C552="","",IFERROR(INDEX(Catalogo!$G$5:$G$129,MATCH(C552,Catalogo!$A$5:$A$129,0)),""))</f>
        <v/>
      </c>
      <c r="X552" s="12">
        <f>IF(C552="","",IF(ISNUMBER(F552),F552,IF(AND(ISNUMBER(D552),ISNUMBER(E552),E552&gt;0),D552/E552*IF(W552="%",100,1),IF(ISNUMBER(D552),D552,""))))</f>
        <v/>
      </c>
      <c r="Y552" s="11">
        <f>IF(C552="","",IF(A552="","Falta periodo",IF(COUNTIF(Listas!$A$2:$A$134,A552)=0,"Periodo no válido",IF(X552="","Falta valor",IF(I552="","Falta fuente: no se mostrará",IF(AND(J552="",K552=""),"Sin evidencia",IF(N552&lt;&gt;"Validado","Sin validar","OK")))))))</f>
        <v/>
      </c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9" t="n"/>
      <c r="N553" s="8" t="n"/>
      <c r="O553" s="8" t="n"/>
      <c r="P553" s="9" t="n"/>
      <c r="Q553" s="8" t="n"/>
      <c r="R553" s="8" t="n"/>
      <c r="S553" s="8" t="n"/>
      <c r="T553" s="8" t="n"/>
      <c r="U553" s="8" t="n"/>
      <c r="V553" s="11">
        <f>IF(C553="","",IFERROR(INDEX(Catalogo!$C$5:$C$129,MATCH(C553,Catalogo!$A$5:$A$129,0)),"Código no existe"))</f>
        <v/>
      </c>
      <c r="W553" s="11">
        <f>IF(C553="","",IFERROR(INDEX(Catalogo!$G$5:$G$129,MATCH(C553,Catalogo!$A$5:$A$129,0)),""))</f>
        <v/>
      </c>
      <c r="X553" s="12">
        <f>IF(C553="","",IF(ISNUMBER(F553),F553,IF(AND(ISNUMBER(D553),ISNUMBER(E553),E553&gt;0),D553/E553*IF(W553="%",100,1),IF(ISNUMBER(D553),D553,""))))</f>
        <v/>
      </c>
      <c r="Y553" s="11">
        <f>IF(C553="","",IF(A553="","Falta periodo",IF(COUNTIF(Listas!$A$2:$A$134,A553)=0,"Periodo no válido",IF(X553="","Falta valor",IF(I553="","Falta fuente: no se mostrará",IF(AND(J553="",K553=""),"Sin evidencia",IF(N553&lt;&gt;"Validado","Sin validar","OK")))))))</f>
        <v/>
      </c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9" t="n"/>
      <c r="N554" s="8" t="n"/>
      <c r="O554" s="8" t="n"/>
      <c r="P554" s="9" t="n"/>
      <c r="Q554" s="8" t="n"/>
      <c r="R554" s="8" t="n"/>
      <c r="S554" s="8" t="n"/>
      <c r="T554" s="8" t="n"/>
      <c r="U554" s="8" t="n"/>
      <c r="V554" s="11">
        <f>IF(C554="","",IFERROR(INDEX(Catalogo!$C$5:$C$129,MATCH(C554,Catalogo!$A$5:$A$129,0)),"Código no existe"))</f>
        <v/>
      </c>
      <c r="W554" s="11">
        <f>IF(C554="","",IFERROR(INDEX(Catalogo!$G$5:$G$129,MATCH(C554,Catalogo!$A$5:$A$129,0)),""))</f>
        <v/>
      </c>
      <c r="X554" s="12">
        <f>IF(C554="","",IF(ISNUMBER(F554),F554,IF(AND(ISNUMBER(D554),ISNUMBER(E554),E554&gt;0),D554/E554*IF(W554="%",100,1),IF(ISNUMBER(D554),D554,""))))</f>
        <v/>
      </c>
      <c r="Y554" s="11">
        <f>IF(C554="","",IF(A554="","Falta periodo",IF(COUNTIF(Listas!$A$2:$A$134,A554)=0,"Periodo no válido",IF(X554="","Falta valor",IF(I554="","Falta fuente: no se mostrará",IF(AND(J554="",K554=""),"Sin evidencia",IF(N554&lt;&gt;"Validado","Sin validar","OK")))))))</f>
        <v/>
      </c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9" t="n"/>
      <c r="N555" s="8" t="n"/>
      <c r="O555" s="8" t="n"/>
      <c r="P555" s="9" t="n"/>
      <c r="Q555" s="8" t="n"/>
      <c r="R555" s="8" t="n"/>
      <c r="S555" s="8" t="n"/>
      <c r="T555" s="8" t="n"/>
      <c r="U555" s="8" t="n"/>
      <c r="V555" s="11">
        <f>IF(C555="","",IFERROR(INDEX(Catalogo!$C$5:$C$129,MATCH(C555,Catalogo!$A$5:$A$129,0)),"Código no existe"))</f>
        <v/>
      </c>
      <c r="W555" s="11">
        <f>IF(C555="","",IFERROR(INDEX(Catalogo!$G$5:$G$129,MATCH(C555,Catalogo!$A$5:$A$129,0)),""))</f>
        <v/>
      </c>
      <c r="X555" s="12">
        <f>IF(C555="","",IF(ISNUMBER(F555),F555,IF(AND(ISNUMBER(D555),ISNUMBER(E555),E555&gt;0),D555/E555*IF(W555="%",100,1),IF(ISNUMBER(D555),D555,""))))</f>
        <v/>
      </c>
      <c r="Y555" s="11">
        <f>IF(C555="","",IF(A555="","Falta periodo",IF(COUNTIF(Listas!$A$2:$A$134,A555)=0,"Periodo no válido",IF(X555="","Falta valor",IF(I555="","Falta fuente: no se mostrará",IF(AND(J555="",K555=""),"Sin evidencia",IF(N555&lt;&gt;"Validado","Sin validar","OK")))))))</f>
        <v/>
      </c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9" t="n"/>
      <c r="N556" s="8" t="n"/>
      <c r="O556" s="8" t="n"/>
      <c r="P556" s="9" t="n"/>
      <c r="Q556" s="8" t="n"/>
      <c r="R556" s="8" t="n"/>
      <c r="S556" s="8" t="n"/>
      <c r="T556" s="8" t="n"/>
      <c r="U556" s="8" t="n"/>
      <c r="V556" s="11">
        <f>IF(C556="","",IFERROR(INDEX(Catalogo!$C$5:$C$129,MATCH(C556,Catalogo!$A$5:$A$129,0)),"Código no existe"))</f>
        <v/>
      </c>
      <c r="W556" s="11">
        <f>IF(C556="","",IFERROR(INDEX(Catalogo!$G$5:$G$129,MATCH(C556,Catalogo!$A$5:$A$129,0)),""))</f>
        <v/>
      </c>
      <c r="X556" s="12">
        <f>IF(C556="","",IF(ISNUMBER(F556),F556,IF(AND(ISNUMBER(D556),ISNUMBER(E556),E556&gt;0),D556/E556*IF(W556="%",100,1),IF(ISNUMBER(D556),D556,""))))</f>
        <v/>
      </c>
      <c r="Y556" s="11">
        <f>IF(C556="","",IF(A556="","Falta periodo",IF(COUNTIF(Listas!$A$2:$A$134,A556)=0,"Periodo no válido",IF(X556="","Falta valor",IF(I556="","Falta fuente: no se mostrará",IF(AND(J556="",K556=""),"Sin evidencia",IF(N556&lt;&gt;"Validado","Sin validar","OK")))))))</f>
        <v/>
      </c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9" t="n"/>
      <c r="N557" s="8" t="n"/>
      <c r="O557" s="8" t="n"/>
      <c r="P557" s="9" t="n"/>
      <c r="Q557" s="8" t="n"/>
      <c r="R557" s="8" t="n"/>
      <c r="S557" s="8" t="n"/>
      <c r="T557" s="8" t="n"/>
      <c r="U557" s="8" t="n"/>
      <c r="V557" s="11">
        <f>IF(C557="","",IFERROR(INDEX(Catalogo!$C$5:$C$129,MATCH(C557,Catalogo!$A$5:$A$129,0)),"Código no existe"))</f>
        <v/>
      </c>
      <c r="W557" s="11">
        <f>IF(C557="","",IFERROR(INDEX(Catalogo!$G$5:$G$129,MATCH(C557,Catalogo!$A$5:$A$129,0)),""))</f>
        <v/>
      </c>
      <c r="X557" s="12">
        <f>IF(C557="","",IF(ISNUMBER(F557),F557,IF(AND(ISNUMBER(D557),ISNUMBER(E557),E557&gt;0),D557/E557*IF(W557="%",100,1),IF(ISNUMBER(D557),D557,""))))</f>
        <v/>
      </c>
      <c r="Y557" s="11">
        <f>IF(C557="","",IF(A557="","Falta periodo",IF(COUNTIF(Listas!$A$2:$A$134,A557)=0,"Periodo no válido",IF(X557="","Falta valor",IF(I557="","Falta fuente: no se mostrará",IF(AND(J557="",K557=""),"Sin evidencia",IF(N557&lt;&gt;"Validado","Sin validar","OK")))))))</f>
        <v/>
      </c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9" t="n"/>
      <c r="N558" s="8" t="n"/>
      <c r="O558" s="8" t="n"/>
      <c r="P558" s="9" t="n"/>
      <c r="Q558" s="8" t="n"/>
      <c r="R558" s="8" t="n"/>
      <c r="S558" s="8" t="n"/>
      <c r="T558" s="8" t="n"/>
      <c r="U558" s="8" t="n"/>
      <c r="V558" s="11">
        <f>IF(C558="","",IFERROR(INDEX(Catalogo!$C$5:$C$129,MATCH(C558,Catalogo!$A$5:$A$129,0)),"Código no existe"))</f>
        <v/>
      </c>
      <c r="W558" s="11">
        <f>IF(C558="","",IFERROR(INDEX(Catalogo!$G$5:$G$129,MATCH(C558,Catalogo!$A$5:$A$129,0)),""))</f>
        <v/>
      </c>
      <c r="X558" s="12">
        <f>IF(C558="","",IF(ISNUMBER(F558),F558,IF(AND(ISNUMBER(D558),ISNUMBER(E558),E558&gt;0),D558/E558*IF(W558="%",100,1),IF(ISNUMBER(D558),D558,""))))</f>
        <v/>
      </c>
      <c r="Y558" s="11">
        <f>IF(C558="","",IF(A558="","Falta periodo",IF(COUNTIF(Listas!$A$2:$A$134,A558)=0,"Periodo no válido",IF(X558="","Falta valor",IF(I558="","Falta fuente: no se mostrará",IF(AND(J558="",K558=""),"Sin evidencia",IF(N558&lt;&gt;"Validado","Sin validar","OK")))))))</f>
        <v/>
      </c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9" t="n"/>
      <c r="N559" s="8" t="n"/>
      <c r="O559" s="8" t="n"/>
      <c r="P559" s="9" t="n"/>
      <c r="Q559" s="8" t="n"/>
      <c r="R559" s="8" t="n"/>
      <c r="S559" s="8" t="n"/>
      <c r="T559" s="8" t="n"/>
      <c r="U559" s="8" t="n"/>
      <c r="V559" s="11">
        <f>IF(C559="","",IFERROR(INDEX(Catalogo!$C$5:$C$129,MATCH(C559,Catalogo!$A$5:$A$129,0)),"Código no existe"))</f>
        <v/>
      </c>
      <c r="W559" s="11">
        <f>IF(C559="","",IFERROR(INDEX(Catalogo!$G$5:$G$129,MATCH(C559,Catalogo!$A$5:$A$129,0)),""))</f>
        <v/>
      </c>
      <c r="X559" s="12">
        <f>IF(C559="","",IF(ISNUMBER(F559),F559,IF(AND(ISNUMBER(D559),ISNUMBER(E559),E559&gt;0),D559/E559*IF(W559="%",100,1),IF(ISNUMBER(D559),D559,""))))</f>
        <v/>
      </c>
      <c r="Y559" s="11">
        <f>IF(C559="","",IF(A559="","Falta periodo",IF(COUNTIF(Listas!$A$2:$A$134,A559)=0,"Periodo no válido",IF(X559="","Falta valor",IF(I559="","Falta fuente: no se mostrará",IF(AND(J559="",K559=""),"Sin evidencia",IF(N559&lt;&gt;"Validado","Sin validar","OK")))))))</f>
        <v/>
      </c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9" t="n"/>
      <c r="N560" s="8" t="n"/>
      <c r="O560" s="8" t="n"/>
      <c r="P560" s="9" t="n"/>
      <c r="Q560" s="8" t="n"/>
      <c r="R560" s="8" t="n"/>
      <c r="S560" s="8" t="n"/>
      <c r="T560" s="8" t="n"/>
      <c r="U560" s="8" t="n"/>
      <c r="V560" s="11">
        <f>IF(C560="","",IFERROR(INDEX(Catalogo!$C$5:$C$129,MATCH(C560,Catalogo!$A$5:$A$129,0)),"Código no existe"))</f>
        <v/>
      </c>
      <c r="W560" s="11">
        <f>IF(C560="","",IFERROR(INDEX(Catalogo!$G$5:$G$129,MATCH(C560,Catalogo!$A$5:$A$129,0)),""))</f>
        <v/>
      </c>
      <c r="X560" s="12">
        <f>IF(C560="","",IF(ISNUMBER(F560),F560,IF(AND(ISNUMBER(D560),ISNUMBER(E560),E560&gt;0),D560/E560*IF(W560="%",100,1),IF(ISNUMBER(D560),D560,""))))</f>
        <v/>
      </c>
      <c r="Y560" s="11">
        <f>IF(C560="","",IF(A560="","Falta periodo",IF(COUNTIF(Listas!$A$2:$A$134,A560)=0,"Periodo no válido",IF(X560="","Falta valor",IF(I560="","Falta fuente: no se mostrará",IF(AND(J560="",K560=""),"Sin evidencia",IF(N560&lt;&gt;"Validado","Sin validar","OK")))))))</f>
        <v/>
      </c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9" t="n"/>
      <c r="N561" s="8" t="n"/>
      <c r="O561" s="8" t="n"/>
      <c r="P561" s="9" t="n"/>
      <c r="Q561" s="8" t="n"/>
      <c r="R561" s="8" t="n"/>
      <c r="S561" s="8" t="n"/>
      <c r="T561" s="8" t="n"/>
      <c r="U561" s="8" t="n"/>
      <c r="V561" s="11">
        <f>IF(C561="","",IFERROR(INDEX(Catalogo!$C$5:$C$129,MATCH(C561,Catalogo!$A$5:$A$129,0)),"Código no existe"))</f>
        <v/>
      </c>
      <c r="W561" s="11">
        <f>IF(C561="","",IFERROR(INDEX(Catalogo!$G$5:$G$129,MATCH(C561,Catalogo!$A$5:$A$129,0)),""))</f>
        <v/>
      </c>
      <c r="X561" s="12">
        <f>IF(C561="","",IF(ISNUMBER(F561),F561,IF(AND(ISNUMBER(D561),ISNUMBER(E561),E561&gt;0),D561/E561*IF(W561="%",100,1),IF(ISNUMBER(D561),D561,""))))</f>
        <v/>
      </c>
      <c r="Y561" s="11">
        <f>IF(C561="","",IF(A561="","Falta periodo",IF(COUNTIF(Listas!$A$2:$A$134,A561)=0,"Periodo no válido",IF(X561="","Falta valor",IF(I561="","Falta fuente: no se mostrará",IF(AND(J561="",K561=""),"Sin evidencia",IF(N561&lt;&gt;"Validado","Sin validar","OK")))))))</f>
        <v/>
      </c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9" t="n"/>
      <c r="N562" s="8" t="n"/>
      <c r="O562" s="8" t="n"/>
      <c r="P562" s="9" t="n"/>
      <c r="Q562" s="8" t="n"/>
      <c r="R562" s="8" t="n"/>
      <c r="S562" s="8" t="n"/>
      <c r="T562" s="8" t="n"/>
      <c r="U562" s="8" t="n"/>
      <c r="V562" s="11">
        <f>IF(C562="","",IFERROR(INDEX(Catalogo!$C$5:$C$129,MATCH(C562,Catalogo!$A$5:$A$129,0)),"Código no existe"))</f>
        <v/>
      </c>
      <c r="W562" s="11">
        <f>IF(C562="","",IFERROR(INDEX(Catalogo!$G$5:$G$129,MATCH(C562,Catalogo!$A$5:$A$129,0)),""))</f>
        <v/>
      </c>
      <c r="X562" s="12">
        <f>IF(C562="","",IF(ISNUMBER(F562),F562,IF(AND(ISNUMBER(D562),ISNUMBER(E562),E562&gt;0),D562/E562*IF(W562="%",100,1),IF(ISNUMBER(D562),D562,""))))</f>
        <v/>
      </c>
      <c r="Y562" s="11">
        <f>IF(C562="","",IF(A562="","Falta periodo",IF(COUNTIF(Listas!$A$2:$A$134,A562)=0,"Periodo no válido",IF(X562="","Falta valor",IF(I562="","Falta fuente: no se mostrará",IF(AND(J562="",K562=""),"Sin evidencia",IF(N562&lt;&gt;"Validado","Sin validar","OK")))))))</f>
        <v/>
      </c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9" t="n"/>
      <c r="N563" s="8" t="n"/>
      <c r="O563" s="8" t="n"/>
      <c r="P563" s="9" t="n"/>
      <c r="Q563" s="8" t="n"/>
      <c r="R563" s="8" t="n"/>
      <c r="S563" s="8" t="n"/>
      <c r="T563" s="8" t="n"/>
      <c r="U563" s="8" t="n"/>
      <c r="V563" s="11">
        <f>IF(C563="","",IFERROR(INDEX(Catalogo!$C$5:$C$129,MATCH(C563,Catalogo!$A$5:$A$129,0)),"Código no existe"))</f>
        <v/>
      </c>
      <c r="W563" s="11">
        <f>IF(C563="","",IFERROR(INDEX(Catalogo!$G$5:$G$129,MATCH(C563,Catalogo!$A$5:$A$129,0)),""))</f>
        <v/>
      </c>
      <c r="X563" s="12">
        <f>IF(C563="","",IF(ISNUMBER(F563),F563,IF(AND(ISNUMBER(D563),ISNUMBER(E563),E563&gt;0),D563/E563*IF(W563="%",100,1),IF(ISNUMBER(D563),D563,""))))</f>
        <v/>
      </c>
      <c r="Y563" s="11">
        <f>IF(C563="","",IF(A563="","Falta periodo",IF(COUNTIF(Listas!$A$2:$A$134,A563)=0,"Periodo no válido",IF(X563="","Falta valor",IF(I563="","Falta fuente: no se mostrará",IF(AND(J563="",K563=""),"Sin evidencia",IF(N563&lt;&gt;"Validado","Sin validar","OK")))))))</f>
        <v/>
      </c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9" t="n"/>
      <c r="N564" s="8" t="n"/>
      <c r="O564" s="8" t="n"/>
      <c r="P564" s="9" t="n"/>
      <c r="Q564" s="8" t="n"/>
      <c r="R564" s="8" t="n"/>
      <c r="S564" s="8" t="n"/>
      <c r="T564" s="8" t="n"/>
      <c r="U564" s="8" t="n"/>
      <c r="V564" s="11">
        <f>IF(C564="","",IFERROR(INDEX(Catalogo!$C$5:$C$129,MATCH(C564,Catalogo!$A$5:$A$129,0)),"Código no existe"))</f>
        <v/>
      </c>
      <c r="W564" s="11">
        <f>IF(C564="","",IFERROR(INDEX(Catalogo!$G$5:$G$129,MATCH(C564,Catalogo!$A$5:$A$129,0)),""))</f>
        <v/>
      </c>
      <c r="X564" s="12">
        <f>IF(C564="","",IF(ISNUMBER(F564),F564,IF(AND(ISNUMBER(D564),ISNUMBER(E564),E564&gt;0),D564/E564*IF(W564="%",100,1),IF(ISNUMBER(D564),D564,""))))</f>
        <v/>
      </c>
      <c r="Y564" s="11">
        <f>IF(C564="","",IF(A564="","Falta periodo",IF(COUNTIF(Listas!$A$2:$A$134,A564)=0,"Periodo no válido",IF(X564="","Falta valor",IF(I564="","Falta fuente: no se mostrará",IF(AND(J564="",K564=""),"Sin evidencia",IF(N564&lt;&gt;"Validado","Sin validar","OK")))))))</f>
        <v/>
      </c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9" t="n"/>
      <c r="N565" s="8" t="n"/>
      <c r="O565" s="8" t="n"/>
      <c r="P565" s="9" t="n"/>
      <c r="Q565" s="8" t="n"/>
      <c r="R565" s="8" t="n"/>
      <c r="S565" s="8" t="n"/>
      <c r="T565" s="8" t="n"/>
      <c r="U565" s="8" t="n"/>
      <c r="V565" s="11">
        <f>IF(C565="","",IFERROR(INDEX(Catalogo!$C$5:$C$129,MATCH(C565,Catalogo!$A$5:$A$129,0)),"Código no existe"))</f>
        <v/>
      </c>
      <c r="W565" s="11">
        <f>IF(C565="","",IFERROR(INDEX(Catalogo!$G$5:$G$129,MATCH(C565,Catalogo!$A$5:$A$129,0)),""))</f>
        <v/>
      </c>
      <c r="X565" s="12">
        <f>IF(C565="","",IF(ISNUMBER(F565),F565,IF(AND(ISNUMBER(D565),ISNUMBER(E565),E565&gt;0),D565/E565*IF(W565="%",100,1),IF(ISNUMBER(D565),D565,""))))</f>
        <v/>
      </c>
      <c r="Y565" s="11">
        <f>IF(C565="","",IF(A565="","Falta periodo",IF(COUNTIF(Listas!$A$2:$A$134,A565)=0,"Periodo no válido",IF(X565="","Falta valor",IF(I565="","Falta fuente: no se mostrará",IF(AND(J565="",K565=""),"Sin evidencia",IF(N565&lt;&gt;"Validado","Sin validar","OK")))))))</f>
        <v/>
      </c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9" t="n"/>
      <c r="N566" s="8" t="n"/>
      <c r="O566" s="8" t="n"/>
      <c r="P566" s="9" t="n"/>
      <c r="Q566" s="8" t="n"/>
      <c r="R566" s="8" t="n"/>
      <c r="S566" s="8" t="n"/>
      <c r="T566" s="8" t="n"/>
      <c r="U566" s="8" t="n"/>
      <c r="V566" s="11">
        <f>IF(C566="","",IFERROR(INDEX(Catalogo!$C$5:$C$129,MATCH(C566,Catalogo!$A$5:$A$129,0)),"Código no existe"))</f>
        <v/>
      </c>
      <c r="W566" s="11">
        <f>IF(C566="","",IFERROR(INDEX(Catalogo!$G$5:$G$129,MATCH(C566,Catalogo!$A$5:$A$129,0)),""))</f>
        <v/>
      </c>
      <c r="X566" s="12">
        <f>IF(C566="","",IF(ISNUMBER(F566),F566,IF(AND(ISNUMBER(D566),ISNUMBER(E566),E566&gt;0),D566/E566*IF(W566="%",100,1),IF(ISNUMBER(D566),D566,""))))</f>
        <v/>
      </c>
      <c r="Y566" s="11">
        <f>IF(C566="","",IF(A566="","Falta periodo",IF(COUNTIF(Listas!$A$2:$A$134,A566)=0,"Periodo no válido",IF(X566="","Falta valor",IF(I566="","Falta fuente: no se mostrará",IF(AND(J566="",K566=""),"Sin evidencia",IF(N566&lt;&gt;"Validado","Sin validar","OK")))))))</f>
        <v/>
      </c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9" t="n"/>
      <c r="N567" s="8" t="n"/>
      <c r="O567" s="8" t="n"/>
      <c r="P567" s="9" t="n"/>
      <c r="Q567" s="8" t="n"/>
      <c r="R567" s="8" t="n"/>
      <c r="S567" s="8" t="n"/>
      <c r="T567" s="8" t="n"/>
      <c r="U567" s="8" t="n"/>
      <c r="V567" s="11">
        <f>IF(C567="","",IFERROR(INDEX(Catalogo!$C$5:$C$129,MATCH(C567,Catalogo!$A$5:$A$129,0)),"Código no existe"))</f>
        <v/>
      </c>
      <c r="W567" s="11">
        <f>IF(C567="","",IFERROR(INDEX(Catalogo!$G$5:$G$129,MATCH(C567,Catalogo!$A$5:$A$129,0)),""))</f>
        <v/>
      </c>
      <c r="X567" s="12">
        <f>IF(C567="","",IF(ISNUMBER(F567),F567,IF(AND(ISNUMBER(D567),ISNUMBER(E567),E567&gt;0),D567/E567*IF(W567="%",100,1),IF(ISNUMBER(D567),D567,""))))</f>
        <v/>
      </c>
      <c r="Y567" s="11">
        <f>IF(C567="","",IF(A567="","Falta periodo",IF(COUNTIF(Listas!$A$2:$A$134,A567)=0,"Periodo no válido",IF(X567="","Falta valor",IF(I567="","Falta fuente: no se mostrará",IF(AND(J567="",K567=""),"Sin evidencia",IF(N567&lt;&gt;"Validado","Sin validar","OK")))))))</f>
        <v/>
      </c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9" t="n"/>
      <c r="N568" s="8" t="n"/>
      <c r="O568" s="8" t="n"/>
      <c r="P568" s="9" t="n"/>
      <c r="Q568" s="8" t="n"/>
      <c r="R568" s="8" t="n"/>
      <c r="S568" s="8" t="n"/>
      <c r="T568" s="8" t="n"/>
      <c r="U568" s="8" t="n"/>
      <c r="V568" s="11">
        <f>IF(C568="","",IFERROR(INDEX(Catalogo!$C$5:$C$129,MATCH(C568,Catalogo!$A$5:$A$129,0)),"Código no existe"))</f>
        <v/>
      </c>
      <c r="W568" s="11">
        <f>IF(C568="","",IFERROR(INDEX(Catalogo!$G$5:$G$129,MATCH(C568,Catalogo!$A$5:$A$129,0)),""))</f>
        <v/>
      </c>
      <c r="X568" s="12">
        <f>IF(C568="","",IF(ISNUMBER(F568),F568,IF(AND(ISNUMBER(D568),ISNUMBER(E568),E568&gt;0),D568/E568*IF(W568="%",100,1),IF(ISNUMBER(D568),D568,""))))</f>
        <v/>
      </c>
      <c r="Y568" s="11">
        <f>IF(C568="","",IF(A568="","Falta periodo",IF(COUNTIF(Listas!$A$2:$A$134,A568)=0,"Periodo no válido",IF(X568="","Falta valor",IF(I568="","Falta fuente: no se mostrará",IF(AND(J568="",K568=""),"Sin evidencia",IF(N568&lt;&gt;"Validado","Sin validar","OK")))))))</f>
        <v/>
      </c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9" t="n"/>
      <c r="N569" s="8" t="n"/>
      <c r="O569" s="8" t="n"/>
      <c r="P569" s="9" t="n"/>
      <c r="Q569" s="8" t="n"/>
      <c r="R569" s="8" t="n"/>
      <c r="S569" s="8" t="n"/>
      <c r="T569" s="8" t="n"/>
      <c r="U569" s="8" t="n"/>
      <c r="V569" s="11">
        <f>IF(C569="","",IFERROR(INDEX(Catalogo!$C$5:$C$129,MATCH(C569,Catalogo!$A$5:$A$129,0)),"Código no existe"))</f>
        <v/>
      </c>
      <c r="W569" s="11">
        <f>IF(C569="","",IFERROR(INDEX(Catalogo!$G$5:$G$129,MATCH(C569,Catalogo!$A$5:$A$129,0)),""))</f>
        <v/>
      </c>
      <c r="X569" s="12">
        <f>IF(C569="","",IF(ISNUMBER(F569),F569,IF(AND(ISNUMBER(D569),ISNUMBER(E569),E569&gt;0),D569/E569*IF(W569="%",100,1),IF(ISNUMBER(D569),D569,""))))</f>
        <v/>
      </c>
      <c r="Y569" s="11">
        <f>IF(C569="","",IF(A569="","Falta periodo",IF(COUNTIF(Listas!$A$2:$A$134,A569)=0,"Periodo no válido",IF(X569="","Falta valor",IF(I569="","Falta fuente: no se mostrará",IF(AND(J569="",K569=""),"Sin evidencia",IF(N569&lt;&gt;"Validado","Sin validar","OK")))))))</f>
        <v/>
      </c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9" t="n"/>
      <c r="N570" s="8" t="n"/>
      <c r="O570" s="8" t="n"/>
      <c r="P570" s="9" t="n"/>
      <c r="Q570" s="8" t="n"/>
      <c r="R570" s="8" t="n"/>
      <c r="S570" s="8" t="n"/>
      <c r="T570" s="8" t="n"/>
      <c r="U570" s="8" t="n"/>
      <c r="V570" s="11">
        <f>IF(C570="","",IFERROR(INDEX(Catalogo!$C$5:$C$129,MATCH(C570,Catalogo!$A$5:$A$129,0)),"Código no existe"))</f>
        <v/>
      </c>
      <c r="W570" s="11">
        <f>IF(C570="","",IFERROR(INDEX(Catalogo!$G$5:$G$129,MATCH(C570,Catalogo!$A$5:$A$129,0)),""))</f>
        <v/>
      </c>
      <c r="X570" s="12">
        <f>IF(C570="","",IF(ISNUMBER(F570),F570,IF(AND(ISNUMBER(D570),ISNUMBER(E570),E570&gt;0),D570/E570*IF(W570="%",100,1),IF(ISNUMBER(D570),D570,""))))</f>
        <v/>
      </c>
      <c r="Y570" s="11">
        <f>IF(C570="","",IF(A570="","Falta periodo",IF(COUNTIF(Listas!$A$2:$A$134,A570)=0,"Periodo no válido",IF(X570="","Falta valor",IF(I570="","Falta fuente: no se mostrará",IF(AND(J570="",K570=""),"Sin evidencia",IF(N570&lt;&gt;"Validado","Sin validar","OK")))))))</f>
        <v/>
      </c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9" t="n"/>
      <c r="N571" s="8" t="n"/>
      <c r="O571" s="8" t="n"/>
      <c r="P571" s="9" t="n"/>
      <c r="Q571" s="8" t="n"/>
      <c r="R571" s="8" t="n"/>
      <c r="S571" s="8" t="n"/>
      <c r="T571" s="8" t="n"/>
      <c r="U571" s="8" t="n"/>
      <c r="V571" s="11">
        <f>IF(C571="","",IFERROR(INDEX(Catalogo!$C$5:$C$129,MATCH(C571,Catalogo!$A$5:$A$129,0)),"Código no existe"))</f>
        <v/>
      </c>
      <c r="W571" s="11">
        <f>IF(C571="","",IFERROR(INDEX(Catalogo!$G$5:$G$129,MATCH(C571,Catalogo!$A$5:$A$129,0)),""))</f>
        <v/>
      </c>
      <c r="X571" s="12">
        <f>IF(C571="","",IF(ISNUMBER(F571),F571,IF(AND(ISNUMBER(D571),ISNUMBER(E571),E571&gt;0),D571/E571*IF(W571="%",100,1),IF(ISNUMBER(D571),D571,""))))</f>
        <v/>
      </c>
      <c r="Y571" s="11">
        <f>IF(C571="","",IF(A571="","Falta periodo",IF(COUNTIF(Listas!$A$2:$A$134,A571)=0,"Periodo no válido",IF(X571="","Falta valor",IF(I571="","Falta fuente: no se mostrará",IF(AND(J571="",K571=""),"Sin evidencia",IF(N571&lt;&gt;"Validado","Sin validar","OK")))))))</f>
        <v/>
      </c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9" t="n"/>
      <c r="N572" s="8" t="n"/>
      <c r="O572" s="8" t="n"/>
      <c r="P572" s="9" t="n"/>
      <c r="Q572" s="8" t="n"/>
      <c r="R572" s="8" t="n"/>
      <c r="S572" s="8" t="n"/>
      <c r="T572" s="8" t="n"/>
      <c r="U572" s="8" t="n"/>
      <c r="V572" s="11">
        <f>IF(C572="","",IFERROR(INDEX(Catalogo!$C$5:$C$129,MATCH(C572,Catalogo!$A$5:$A$129,0)),"Código no existe"))</f>
        <v/>
      </c>
      <c r="W572" s="11">
        <f>IF(C572="","",IFERROR(INDEX(Catalogo!$G$5:$G$129,MATCH(C572,Catalogo!$A$5:$A$129,0)),""))</f>
        <v/>
      </c>
      <c r="X572" s="12">
        <f>IF(C572="","",IF(ISNUMBER(F572),F572,IF(AND(ISNUMBER(D572),ISNUMBER(E572),E572&gt;0),D572/E572*IF(W572="%",100,1),IF(ISNUMBER(D572),D572,""))))</f>
        <v/>
      </c>
      <c r="Y572" s="11">
        <f>IF(C572="","",IF(A572="","Falta periodo",IF(COUNTIF(Listas!$A$2:$A$134,A572)=0,"Periodo no válido",IF(X572="","Falta valor",IF(I572="","Falta fuente: no se mostrará",IF(AND(J572="",K572=""),"Sin evidencia",IF(N572&lt;&gt;"Validado","Sin validar","OK")))))))</f>
        <v/>
      </c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9" t="n"/>
      <c r="N573" s="8" t="n"/>
      <c r="O573" s="8" t="n"/>
      <c r="P573" s="9" t="n"/>
      <c r="Q573" s="8" t="n"/>
      <c r="R573" s="8" t="n"/>
      <c r="S573" s="8" t="n"/>
      <c r="T573" s="8" t="n"/>
      <c r="U573" s="8" t="n"/>
      <c r="V573" s="11">
        <f>IF(C573="","",IFERROR(INDEX(Catalogo!$C$5:$C$129,MATCH(C573,Catalogo!$A$5:$A$129,0)),"Código no existe"))</f>
        <v/>
      </c>
      <c r="W573" s="11">
        <f>IF(C573="","",IFERROR(INDEX(Catalogo!$G$5:$G$129,MATCH(C573,Catalogo!$A$5:$A$129,0)),""))</f>
        <v/>
      </c>
      <c r="X573" s="12">
        <f>IF(C573="","",IF(ISNUMBER(F573),F573,IF(AND(ISNUMBER(D573),ISNUMBER(E573),E573&gt;0),D573/E573*IF(W573="%",100,1),IF(ISNUMBER(D573),D573,""))))</f>
        <v/>
      </c>
      <c r="Y573" s="11">
        <f>IF(C573="","",IF(A573="","Falta periodo",IF(COUNTIF(Listas!$A$2:$A$134,A573)=0,"Periodo no válido",IF(X573="","Falta valor",IF(I573="","Falta fuente: no se mostrará",IF(AND(J573="",K573=""),"Sin evidencia",IF(N573&lt;&gt;"Validado","Sin validar","OK")))))))</f>
        <v/>
      </c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9" t="n"/>
      <c r="N574" s="8" t="n"/>
      <c r="O574" s="8" t="n"/>
      <c r="P574" s="9" t="n"/>
      <c r="Q574" s="8" t="n"/>
      <c r="R574" s="8" t="n"/>
      <c r="S574" s="8" t="n"/>
      <c r="T574" s="8" t="n"/>
      <c r="U574" s="8" t="n"/>
      <c r="V574" s="11">
        <f>IF(C574="","",IFERROR(INDEX(Catalogo!$C$5:$C$129,MATCH(C574,Catalogo!$A$5:$A$129,0)),"Código no existe"))</f>
        <v/>
      </c>
      <c r="W574" s="11">
        <f>IF(C574="","",IFERROR(INDEX(Catalogo!$G$5:$G$129,MATCH(C574,Catalogo!$A$5:$A$129,0)),""))</f>
        <v/>
      </c>
      <c r="X574" s="12">
        <f>IF(C574="","",IF(ISNUMBER(F574),F574,IF(AND(ISNUMBER(D574),ISNUMBER(E574),E574&gt;0),D574/E574*IF(W574="%",100,1),IF(ISNUMBER(D574),D574,""))))</f>
        <v/>
      </c>
      <c r="Y574" s="11">
        <f>IF(C574="","",IF(A574="","Falta periodo",IF(COUNTIF(Listas!$A$2:$A$134,A574)=0,"Periodo no válido",IF(X574="","Falta valor",IF(I574="","Falta fuente: no se mostrará",IF(AND(J574="",K574=""),"Sin evidencia",IF(N574&lt;&gt;"Validado","Sin validar","OK")))))))</f>
        <v/>
      </c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9" t="n"/>
      <c r="N575" s="8" t="n"/>
      <c r="O575" s="8" t="n"/>
      <c r="P575" s="9" t="n"/>
      <c r="Q575" s="8" t="n"/>
      <c r="R575" s="8" t="n"/>
      <c r="S575" s="8" t="n"/>
      <c r="T575" s="8" t="n"/>
      <c r="U575" s="8" t="n"/>
      <c r="V575" s="11">
        <f>IF(C575="","",IFERROR(INDEX(Catalogo!$C$5:$C$129,MATCH(C575,Catalogo!$A$5:$A$129,0)),"Código no existe"))</f>
        <v/>
      </c>
      <c r="W575" s="11">
        <f>IF(C575="","",IFERROR(INDEX(Catalogo!$G$5:$G$129,MATCH(C575,Catalogo!$A$5:$A$129,0)),""))</f>
        <v/>
      </c>
      <c r="X575" s="12">
        <f>IF(C575="","",IF(ISNUMBER(F575),F575,IF(AND(ISNUMBER(D575),ISNUMBER(E575),E575&gt;0),D575/E575*IF(W575="%",100,1),IF(ISNUMBER(D575),D575,""))))</f>
        <v/>
      </c>
      <c r="Y575" s="11">
        <f>IF(C575="","",IF(A575="","Falta periodo",IF(COUNTIF(Listas!$A$2:$A$134,A575)=0,"Periodo no válido",IF(X575="","Falta valor",IF(I575="","Falta fuente: no se mostrará",IF(AND(J575="",K575=""),"Sin evidencia",IF(N575&lt;&gt;"Validado","Sin validar","OK")))))))</f>
        <v/>
      </c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9" t="n"/>
      <c r="N576" s="8" t="n"/>
      <c r="O576" s="8" t="n"/>
      <c r="P576" s="9" t="n"/>
      <c r="Q576" s="8" t="n"/>
      <c r="R576" s="8" t="n"/>
      <c r="S576" s="8" t="n"/>
      <c r="T576" s="8" t="n"/>
      <c r="U576" s="8" t="n"/>
      <c r="V576" s="11">
        <f>IF(C576="","",IFERROR(INDEX(Catalogo!$C$5:$C$129,MATCH(C576,Catalogo!$A$5:$A$129,0)),"Código no existe"))</f>
        <v/>
      </c>
      <c r="W576" s="11">
        <f>IF(C576="","",IFERROR(INDEX(Catalogo!$G$5:$G$129,MATCH(C576,Catalogo!$A$5:$A$129,0)),""))</f>
        <v/>
      </c>
      <c r="X576" s="12">
        <f>IF(C576="","",IF(ISNUMBER(F576),F576,IF(AND(ISNUMBER(D576),ISNUMBER(E576),E576&gt;0),D576/E576*IF(W576="%",100,1),IF(ISNUMBER(D576),D576,""))))</f>
        <v/>
      </c>
      <c r="Y576" s="11">
        <f>IF(C576="","",IF(A576="","Falta periodo",IF(COUNTIF(Listas!$A$2:$A$134,A576)=0,"Periodo no válido",IF(X576="","Falta valor",IF(I576="","Falta fuente: no se mostrará",IF(AND(J576="",K576=""),"Sin evidencia",IF(N576&lt;&gt;"Validado","Sin validar","OK")))))))</f>
        <v/>
      </c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9" t="n"/>
      <c r="N577" s="8" t="n"/>
      <c r="O577" s="8" t="n"/>
      <c r="P577" s="9" t="n"/>
      <c r="Q577" s="8" t="n"/>
      <c r="R577" s="8" t="n"/>
      <c r="S577" s="8" t="n"/>
      <c r="T577" s="8" t="n"/>
      <c r="U577" s="8" t="n"/>
      <c r="V577" s="11">
        <f>IF(C577="","",IFERROR(INDEX(Catalogo!$C$5:$C$129,MATCH(C577,Catalogo!$A$5:$A$129,0)),"Código no existe"))</f>
        <v/>
      </c>
      <c r="W577" s="11">
        <f>IF(C577="","",IFERROR(INDEX(Catalogo!$G$5:$G$129,MATCH(C577,Catalogo!$A$5:$A$129,0)),""))</f>
        <v/>
      </c>
      <c r="X577" s="12">
        <f>IF(C577="","",IF(ISNUMBER(F577),F577,IF(AND(ISNUMBER(D577),ISNUMBER(E577),E577&gt;0),D577/E577*IF(W577="%",100,1),IF(ISNUMBER(D577),D577,""))))</f>
        <v/>
      </c>
      <c r="Y577" s="11">
        <f>IF(C577="","",IF(A577="","Falta periodo",IF(COUNTIF(Listas!$A$2:$A$134,A577)=0,"Periodo no válido",IF(X577="","Falta valor",IF(I577="","Falta fuente: no se mostrará",IF(AND(J577="",K577=""),"Sin evidencia",IF(N577&lt;&gt;"Validado","Sin validar","OK")))))))</f>
        <v/>
      </c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9" t="n"/>
      <c r="N578" s="8" t="n"/>
      <c r="O578" s="8" t="n"/>
      <c r="P578" s="9" t="n"/>
      <c r="Q578" s="8" t="n"/>
      <c r="R578" s="8" t="n"/>
      <c r="S578" s="8" t="n"/>
      <c r="T578" s="8" t="n"/>
      <c r="U578" s="8" t="n"/>
      <c r="V578" s="11">
        <f>IF(C578="","",IFERROR(INDEX(Catalogo!$C$5:$C$129,MATCH(C578,Catalogo!$A$5:$A$129,0)),"Código no existe"))</f>
        <v/>
      </c>
      <c r="W578" s="11">
        <f>IF(C578="","",IFERROR(INDEX(Catalogo!$G$5:$G$129,MATCH(C578,Catalogo!$A$5:$A$129,0)),""))</f>
        <v/>
      </c>
      <c r="X578" s="12">
        <f>IF(C578="","",IF(ISNUMBER(F578),F578,IF(AND(ISNUMBER(D578),ISNUMBER(E578),E578&gt;0),D578/E578*IF(W578="%",100,1),IF(ISNUMBER(D578),D578,""))))</f>
        <v/>
      </c>
      <c r="Y578" s="11">
        <f>IF(C578="","",IF(A578="","Falta periodo",IF(COUNTIF(Listas!$A$2:$A$134,A578)=0,"Periodo no válido",IF(X578="","Falta valor",IF(I578="","Falta fuente: no se mostrará",IF(AND(J578="",K578=""),"Sin evidencia",IF(N578&lt;&gt;"Validado","Sin validar","OK")))))))</f>
        <v/>
      </c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9" t="n"/>
      <c r="N579" s="8" t="n"/>
      <c r="O579" s="8" t="n"/>
      <c r="P579" s="9" t="n"/>
      <c r="Q579" s="8" t="n"/>
      <c r="R579" s="8" t="n"/>
      <c r="S579" s="8" t="n"/>
      <c r="T579" s="8" t="n"/>
      <c r="U579" s="8" t="n"/>
      <c r="V579" s="11">
        <f>IF(C579="","",IFERROR(INDEX(Catalogo!$C$5:$C$129,MATCH(C579,Catalogo!$A$5:$A$129,0)),"Código no existe"))</f>
        <v/>
      </c>
      <c r="W579" s="11">
        <f>IF(C579="","",IFERROR(INDEX(Catalogo!$G$5:$G$129,MATCH(C579,Catalogo!$A$5:$A$129,0)),""))</f>
        <v/>
      </c>
      <c r="X579" s="12">
        <f>IF(C579="","",IF(ISNUMBER(F579),F579,IF(AND(ISNUMBER(D579),ISNUMBER(E579),E579&gt;0),D579/E579*IF(W579="%",100,1),IF(ISNUMBER(D579),D579,""))))</f>
        <v/>
      </c>
      <c r="Y579" s="11">
        <f>IF(C579="","",IF(A579="","Falta periodo",IF(COUNTIF(Listas!$A$2:$A$134,A579)=0,"Periodo no válido",IF(X579="","Falta valor",IF(I579="","Falta fuente: no se mostrará",IF(AND(J579="",K579=""),"Sin evidencia",IF(N579&lt;&gt;"Validado","Sin validar","OK")))))))</f>
        <v/>
      </c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9" t="n"/>
      <c r="N580" s="8" t="n"/>
      <c r="O580" s="8" t="n"/>
      <c r="P580" s="9" t="n"/>
      <c r="Q580" s="8" t="n"/>
      <c r="R580" s="8" t="n"/>
      <c r="S580" s="8" t="n"/>
      <c r="T580" s="8" t="n"/>
      <c r="U580" s="8" t="n"/>
      <c r="V580" s="11">
        <f>IF(C580="","",IFERROR(INDEX(Catalogo!$C$5:$C$129,MATCH(C580,Catalogo!$A$5:$A$129,0)),"Código no existe"))</f>
        <v/>
      </c>
      <c r="W580" s="11">
        <f>IF(C580="","",IFERROR(INDEX(Catalogo!$G$5:$G$129,MATCH(C580,Catalogo!$A$5:$A$129,0)),""))</f>
        <v/>
      </c>
      <c r="X580" s="12">
        <f>IF(C580="","",IF(ISNUMBER(F580),F580,IF(AND(ISNUMBER(D580),ISNUMBER(E580),E580&gt;0),D580/E580*IF(W580="%",100,1),IF(ISNUMBER(D580),D580,""))))</f>
        <v/>
      </c>
      <c r="Y580" s="11">
        <f>IF(C580="","",IF(A580="","Falta periodo",IF(COUNTIF(Listas!$A$2:$A$134,A580)=0,"Periodo no válido",IF(X580="","Falta valor",IF(I580="","Falta fuente: no se mostrará",IF(AND(J580="",K580=""),"Sin evidencia",IF(N580&lt;&gt;"Validado","Sin validar","OK")))))))</f>
        <v/>
      </c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9" t="n"/>
      <c r="N581" s="8" t="n"/>
      <c r="O581" s="8" t="n"/>
      <c r="P581" s="9" t="n"/>
      <c r="Q581" s="8" t="n"/>
      <c r="R581" s="8" t="n"/>
      <c r="S581" s="8" t="n"/>
      <c r="T581" s="8" t="n"/>
      <c r="U581" s="8" t="n"/>
      <c r="V581" s="11">
        <f>IF(C581="","",IFERROR(INDEX(Catalogo!$C$5:$C$129,MATCH(C581,Catalogo!$A$5:$A$129,0)),"Código no existe"))</f>
        <v/>
      </c>
      <c r="W581" s="11">
        <f>IF(C581="","",IFERROR(INDEX(Catalogo!$G$5:$G$129,MATCH(C581,Catalogo!$A$5:$A$129,0)),""))</f>
        <v/>
      </c>
      <c r="X581" s="12">
        <f>IF(C581="","",IF(ISNUMBER(F581),F581,IF(AND(ISNUMBER(D581),ISNUMBER(E581),E581&gt;0),D581/E581*IF(W581="%",100,1),IF(ISNUMBER(D581),D581,""))))</f>
        <v/>
      </c>
      <c r="Y581" s="11">
        <f>IF(C581="","",IF(A581="","Falta periodo",IF(COUNTIF(Listas!$A$2:$A$134,A581)=0,"Periodo no válido",IF(X581="","Falta valor",IF(I581="","Falta fuente: no se mostrará",IF(AND(J581="",K581=""),"Sin evidencia",IF(N581&lt;&gt;"Validado","Sin validar","OK")))))))</f>
        <v/>
      </c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9" t="n"/>
      <c r="N582" s="8" t="n"/>
      <c r="O582" s="8" t="n"/>
      <c r="P582" s="9" t="n"/>
      <c r="Q582" s="8" t="n"/>
      <c r="R582" s="8" t="n"/>
      <c r="S582" s="8" t="n"/>
      <c r="T582" s="8" t="n"/>
      <c r="U582" s="8" t="n"/>
      <c r="V582" s="11">
        <f>IF(C582="","",IFERROR(INDEX(Catalogo!$C$5:$C$129,MATCH(C582,Catalogo!$A$5:$A$129,0)),"Código no existe"))</f>
        <v/>
      </c>
      <c r="W582" s="11">
        <f>IF(C582="","",IFERROR(INDEX(Catalogo!$G$5:$G$129,MATCH(C582,Catalogo!$A$5:$A$129,0)),""))</f>
        <v/>
      </c>
      <c r="X582" s="12">
        <f>IF(C582="","",IF(ISNUMBER(F582),F582,IF(AND(ISNUMBER(D582),ISNUMBER(E582),E582&gt;0),D582/E582*IF(W582="%",100,1),IF(ISNUMBER(D582),D582,""))))</f>
        <v/>
      </c>
      <c r="Y582" s="11">
        <f>IF(C582="","",IF(A582="","Falta periodo",IF(COUNTIF(Listas!$A$2:$A$134,A582)=0,"Periodo no válido",IF(X582="","Falta valor",IF(I582="","Falta fuente: no se mostrará",IF(AND(J582="",K582=""),"Sin evidencia",IF(N582&lt;&gt;"Validado","Sin validar","OK")))))))</f>
        <v/>
      </c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9" t="n"/>
      <c r="N583" s="8" t="n"/>
      <c r="O583" s="8" t="n"/>
      <c r="P583" s="9" t="n"/>
      <c r="Q583" s="8" t="n"/>
      <c r="R583" s="8" t="n"/>
      <c r="S583" s="8" t="n"/>
      <c r="T583" s="8" t="n"/>
      <c r="U583" s="8" t="n"/>
      <c r="V583" s="11">
        <f>IF(C583="","",IFERROR(INDEX(Catalogo!$C$5:$C$129,MATCH(C583,Catalogo!$A$5:$A$129,0)),"Código no existe"))</f>
        <v/>
      </c>
      <c r="W583" s="11">
        <f>IF(C583="","",IFERROR(INDEX(Catalogo!$G$5:$G$129,MATCH(C583,Catalogo!$A$5:$A$129,0)),""))</f>
        <v/>
      </c>
      <c r="X583" s="12">
        <f>IF(C583="","",IF(ISNUMBER(F583),F583,IF(AND(ISNUMBER(D583),ISNUMBER(E583),E583&gt;0),D583/E583*IF(W583="%",100,1),IF(ISNUMBER(D583),D583,""))))</f>
        <v/>
      </c>
      <c r="Y583" s="11">
        <f>IF(C583="","",IF(A583="","Falta periodo",IF(COUNTIF(Listas!$A$2:$A$134,A583)=0,"Periodo no válido",IF(X583="","Falta valor",IF(I583="","Falta fuente: no se mostrará",IF(AND(J583="",K583=""),"Sin evidencia",IF(N583&lt;&gt;"Validado","Sin validar","OK")))))))</f>
        <v/>
      </c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9" t="n"/>
      <c r="N584" s="8" t="n"/>
      <c r="O584" s="8" t="n"/>
      <c r="P584" s="9" t="n"/>
      <c r="Q584" s="8" t="n"/>
      <c r="R584" s="8" t="n"/>
      <c r="S584" s="8" t="n"/>
      <c r="T584" s="8" t="n"/>
      <c r="U584" s="8" t="n"/>
      <c r="V584" s="11">
        <f>IF(C584="","",IFERROR(INDEX(Catalogo!$C$5:$C$129,MATCH(C584,Catalogo!$A$5:$A$129,0)),"Código no existe"))</f>
        <v/>
      </c>
      <c r="W584" s="11">
        <f>IF(C584="","",IFERROR(INDEX(Catalogo!$G$5:$G$129,MATCH(C584,Catalogo!$A$5:$A$129,0)),""))</f>
        <v/>
      </c>
      <c r="X584" s="12">
        <f>IF(C584="","",IF(ISNUMBER(F584),F584,IF(AND(ISNUMBER(D584),ISNUMBER(E584),E584&gt;0),D584/E584*IF(W584="%",100,1),IF(ISNUMBER(D584),D584,""))))</f>
        <v/>
      </c>
      <c r="Y584" s="11">
        <f>IF(C584="","",IF(A584="","Falta periodo",IF(COUNTIF(Listas!$A$2:$A$134,A584)=0,"Periodo no válido",IF(X584="","Falta valor",IF(I584="","Falta fuente: no se mostrará",IF(AND(J584="",K584=""),"Sin evidencia",IF(N584&lt;&gt;"Validado","Sin validar","OK")))))))</f>
        <v/>
      </c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9" t="n"/>
      <c r="N585" s="8" t="n"/>
      <c r="O585" s="8" t="n"/>
      <c r="P585" s="9" t="n"/>
      <c r="Q585" s="8" t="n"/>
      <c r="R585" s="8" t="n"/>
      <c r="S585" s="8" t="n"/>
      <c r="T585" s="8" t="n"/>
      <c r="U585" s="8" t="n"/>
      <c r="V585" s="11">
        <f>IF(C585="","",IFERROR(INDEX(Catalogo!$C$5:$C$129,MATCH(C585,Catalogo!$A$5:$A$129,0)),"Código no existe"))</f>
        <v/>
      </c>
      <c r="W585" s="11">
        <f>IF(C585="","",IFERROR(INDEX(Catalogo!$G$5:$G$129,MATCH(C585,Catalogo!$A$5:$A$129,0)),""))</f>
        <v/>
      </c>
      <c r="X585" s="12">
        <f>IF(C585="","",IF(ISNUMBER(F585),F585,IF(AND(ISNUMBER(D585),ISNUMBER(E585),E585&gt;0),D585/E585*IF(W585="%",100,1),IF(ISNUMBER(D585),D585,""))))</f>
        <v/>
      </c>
      <c r="Y585" s="11">
        <f>IF(C585="","",IF(A585="","Falta periodo",IF(COUNTIF(Listas!$A$2:$A$134,A585)=0,"Periodo no válido",IF(X585="","Falta valor",IF(I585="","Falta fuente: no se mostrará",IF(AND(J585="",K585=""),"Sin evidencia",IF(N585&lt;&gt;"Validado","Sin validar","OK")))))))</f>
        <v/>
      </c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9" t="n"/>
      <c r="N586" s="8" t="n"/>
      <c r="O586" s="8" t="n"/>
      <c r="P586" s="9" t="n"/>
      <c r="Q586" s="8" t="n"/>
      <c r="R586" s="8" t="n"/>
      <c r="S586" s="8" t="n"/>
      <c r="T586" s="8" t="n"/>
      <c r="U586" s="8" t="n"/>
      <c r="V586" s="11">
        <f>IF(C586="","",IFERROR(INDEX(Catalogo!$C$5:$C$129,MATCH(C586,Catalogo!$A$5:$A$129,0)),"Código no existe"))</f>
        <v/>
      </c>
      <c r="W586" s="11">
        <f>IF(C586="","",IFERROR(INDEX(Catalogo!$G$5:$G$129,MATCH(C586,Catalogo!$A$5:$A$129,0)),""))</f>
        <v/>
      </c>
      <c r="X586" s="12">
        <f>IF(C586="","",IF(ISNUMBER(F586),F586,IF(AND(ISNUMBER(D586),ISNUMBER(E586),E586&gt;0),D586/E586*IF(W586="%",100,1),IF(ISNUMBER(D586),D586,""))))</f>
        <v/>
      </c>
      <c r="Y586" s="11">
        <f>IF(C586="","",IF(A586="","Falta periodo",IF(COUNTIF(Listas!$A$2:$A$134,A586)=0,"Periodo no válido",IF(X586="","Falta valor",IF(I586="","Falta fuente: no se mostrará",IF(AND(J586="",K586=""),"Sin evidencia",IF(N586&lt;&gt;"Validado","Sin validar","OK")))))))</f>
        <v/>
      </c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9" t="n"/>
      <c r="N587" s="8" t="n"/>
      <c r="O587" s="8" t="n"/>
      <c r="P587" s="9" t="n"/>
      <c r="Q587" s="8" t="n"/>
      <c r="R587" s="8" t="n"/>
      <c r="S587" s="8" t="n"/>
      <c r="T587" s="8" t="n"/>
      <c r="U587" s="8" t="n"/>
      <c r="V587" s="11">
        <f>IF(C587="","",IFERROR(INDEX(Catalogo!$C$5:$C$129,MATCH(C587,Catalogo!$A$5:$A$129,0)),"Código no existe"))</f>
        <v/>
      </c>
      <c r="W587" s="11">
        <f>IF(C587="","",IFERROR(INDEX(Catalogo!$G$5:$G$129,MATCH(C587,Catalogo!$A$5:$A$129,0)),""))</f>
        <v/>
      </c>
      <c r="X587" s="12">
        <f>IF(C587="","",IF(ISNUMBER(F587),F587,IF(AND(ISNUMBER(D587),ISNUMBER(E587),E587&gt;0),D587/E587*IF(W587="%",100,1),IF(ISNUMBER(D587),D587,""))))</f>
        <v/>
      </c>
      <c r="Y587" s="11">
        <f>IF(C587="","",IF(A587="","Falta periodo",IF(COUNTIF(Listas!$A$2:$A$134,A587)=0,"Periodo no válido",IF(X587="","Falta valor",IF(I587="","Falta fuente: no se mostrará",IF(AND(J587="",K587=""),"Sin evidencia",IF(N587&lt;&gt;"Validado","Sin validar","OK")))))))</f>
        <v/>
      </c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9" t="n"/>
      <c r="N588" s="8" t="n"/>
      <c r="O588" s="8" t="n"/>
      <c r="P588" s="9" t="n"/>
      <c r="Q588" s="8" t="n"/>
      <c r="R588" s="8" t="n"/>
      <c r="S588" s="8" t="n"/>
      <c r="T588" s="8" t="n"/>
      <c r="U588" s="8" t="n"/>
      <c r="V588" s="11">
        <f>IF(C588="","",IFERROR(INDEX(Catalogo!$C$5:$C$129,MATCH(C588,Catalogo!$A$5:$A$129,0)),"Código no existe"))</f>
        <v/>
      </c>
      <c r="W588" s="11">
        <f>IF(C588="","",IFERROR(INDEX(Catalogo!$G$5:$G$129,MATCH(C588,Catalogo!$A$5:$A$129,0)),""))</f>
        <v/>
      </c>
      <c r="X588" s="12">
        <f>IF(C588="","",IF(ISNUMBER(F588),F588,IF(AND(ISNUMBER(D588),ISNUMBER(E588),E588&gt;0),D588/E588*IF(W588="%",100,1),IF(ISNUMBER(D588),D588,""))))</f>
        <v/>
      </c>
      <c r="Y588" s="11">
        <f>IF(C588="","",IF(A588="","Falta periodo",IF(COUNTIF(Listas!$A$2:$A$134,A588)=0,"Periodo no válido",IF(X588="","Falta valor",IF(I588="","Falta fuente: no se mostrará",IF(AND(J588="",K588=""),"Sin evidencia",IF(N588&lt;&gt;"Validado","Sin validar","OK")))))))</f>
        <v/>
      </c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9" t="n"/>
      <c r="N589" s="8" t="n"/>
      <c r="O589" s="8" t="n"/>
      <c r="P589" s="9" t="n"/>
      <c r="Q589" s="8" t="n"/>
      <c r="R589" s="8" t="n"/>
      <c r="S589" s="8" t="n"/>
      <c r="T589" s="8" t="n"/>
      <c r="U589" s="8" t="n"/>
      <c r="V589" s="11">
        <f>IF(C589="","",IFERROR(INDEX(Catalogo!$C$5:$C$129,MATCH(C589,Catalogo!$A$5:$A$129,0)),"Código no existe"))</f>
        <v/>
      </c>
      <c r="W589" s="11">
        <f>IF(C589="","",IFERROR(INDEX(Catalogo!$G$5:$G$129,MATCH(C589,Catalogo!$A$5:$A$129,0)),""))</f>
        <v/>
      </c>
      <c r="X589" s="12">
        <f>IF(C589="","",IF(ISNUMBER(F589),F589,IF(AND(ISNUMBER(D589),ISNUMBER(E589),E589&gt;0),D589/E589*IF(W589="%",100,1),IF(ISNUMBER(D589),D589,""))))</f>
        <v/>
      </c>
      <c r="Y589" s="11">
        <f>IF(C589="","",IF(A589="","Falta periodo",IF(COUNTIF(Listas!$A$2:$A$134,A589)=0,"Periodo no válido",IF(X589="","Falta valor",IF(I589="","Falta fuente: no se mostrará",IF(AND(J589="",K589=""),"Sin evidencia",IF(N589&lt;&gt;"Validado","Sin validar","OK")))))))</f>
        <v/>
      </c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9" t="n"/>
      <c r="N590" s="8" t="n"/>
      <c r="O590" s="8" t="n"/>
      <c r="P590" s="9" t="n"/>
      <c r="Q590" s="8" t="n"/>
      <c r="R590" s="8" t="n"/>
      <c r="S590" s="8" t="n"/>
      <c r="T590" s="8" t="n"/>
      <c r="U590" s="8" t="n"/>
      <c r="V590" s="11">
        <f>IF(C590="","",IFERROR(INDEX(Catalogo!$C$5:$C$129,MATCH(C590,Catalogo!$A$5:$A$129,0)),"Código no existe"))</f>
        <v/>
      </c>
      <c r="W590" s="11">
        <f>IF(C590="","",IFERROR(INDEX(Catalogo!$G$5:$G$129,MATCH(C590,Catalogo!$A$5:$A$129,0)),""))</f>
        <v/>
      </c>
      <c r="X590" s="12">
        <f>IF(C590="","",IF(ISNUMBER(F590),F590,IF(AND(ISNUMBER(D590),ISNUMBER(E590),E590&gt;0),D590/E590*IF(W590="%",100,1),IF(ISNUMBER(D590),D590,""))))</f>
        <v/>
      </c>
      <c r="Y590" s="11">
        <f>IF(C590="","",IF(A590="","Falta periodo",IF(COUNTIF(Listas!$A$2:$A$134,A590)=0,"Periodo no válido",IF(X590="","Falta valor",IF(I590="","Falta fuente: no se mostrará",IF(AND(J590="",K590=""),"Sin evidencia",IF(N590&lt;&gt;"Validado","Sin validar","OK")))))))</f>
        <v/>
      </c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9" t="n"/>
      <c r="N591" s="8" t="n"/>
      <c r="O591" s="8" t="n"/>
      <c r="P591" s="9" t="n"/>
      <c r="Q591" s="8" t="n"/>
      <c r="R591" s="8" t="n"/>
      <c r="S591" s="8" t="n"/>
      <c r="T591" s="8" t="n"/>
      <c r="U591" s="8" t="n"/>
      <c r="V591" s="11">
        <f>IF(C591="","",IFERROR(INDEX(Catalogo!$C$5:$C$129,MATCH(C591,Catalogo!$A$5:$A$129,0)),"Código no existe"))</f>
        <v/>
      </c>
      <c r="W591" s="11">
        <f>IF(C591="","",IFERROR(INDEX(Catalogo!$G$5:$G$129,MATCH(C591,Catalogo!$A$5:$A$129,0)),""))</f>
        <v/>
      </c>
      <c r="X591" s="12">
        <f>IF(C591="","",IF(ISNUMBER(F591),F591,IF(AND(ISNUMBER(D591),ISNUMBER(E591),E591&gt;0),D591/E591*IF(W591="%",100,1),IF(ISNUMBER(D591),D591,""))))</f>
        <v/>
      </c>
      <c r="Y591" s="11">
        <f>IF(C591="","",IF(A591="","Falta periodo",IF(COUNTIF(Listas!$A$2:$A$134,A591)=0,"Periodo no válido",IF(X591="","Falta valor",IF(I591="","Falta fuente: no se mostrará",IF(AND(J591="",K591=""),"Sin evidencia",IF(N591&lt;&gt;"Validado","Sin validar","OK")))))))</f>
        <v/>
      </c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9" t="n"/>
      <c r="N592" s="8" t="n"/>
      <c r="O592" s="8" t="n"/>
      <c r="P592" s="9" t="n"/>
      <c r="Q592" s="8" t="n"/>
      <c r="R592" s="8" t="n"/>
      <c r="S592" s="8" t="n"/>
      <c r="T592" s="8" t="n"/>
      <c r="U592" s="8" t="n"/>
      <c r="V592" s="11">
        <f>IF(C592="","",IFERROR(INDEX(Catalogo!$C$5:$C$129,MATCH(C592,Catalogo!$A$5:$A$129,0)),"Código no existe"))</f>
        <v/>
      </c>
      <c r="W592" s="11">
        <f>IF(C592="","",IFERROR(INDEX(Catalogo!$G$5:$G$129,MATCH(C592,Catalogo!$A$5:$A$129,0)),""))</f>
        <v/>
      </c>
      <c r="X592" s="12">
        <f>IF(C592="","",IF(ISNUMBER(F592),F592,IF(AND(ISNUMBER(D592),ISNUMBER(E592),E592&gt;0),D592/E592*IF(W592="%",100,1),IF(ISNUMBER(D592),D592,""))))</f>
        <v/>
      </c>
      <c r="Y592" s="11">
        <f>IF(C592="","",IF(A592="","Falta periodo",IF(COUNTIF(Listas!$A$2:$A$134,A592)=0,"Periodo no válido",IF(X592="","Falta valor",IF(I592="","Falta fuente: no se mostrará",IF(AND(J592="",K592=""),"Sin evidencia",IF(N592&lt;&gt;"Validado","Sin validar","OK")))))))</f>
        <v/>
      </c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9" t="n"/>
      <c r="N593" s="8" t="n"/>
      <c r="O593" s="8" t="n"/>
      <c r="P593" s="9" t="n"/>
      <c r="Q593" s="8" t="n"/>
      <c r="R593" s="8" t="n"/>
      <c r="S593" s="8" t="n"/>
      <c r="T593" s="8" t="n"/>
      <c r="U593" s="8" t="n"/>
      <c r="V593" s="11">
        <f>IF(C593="","",IFERROR(INDEX(Catalogo!$C$5:$C$129,MATCH(C593,Catalogo!$A$5:$A$129,0)),"Código no existe"))</f>
        <v/>
      </c>
      <c r="W593" s="11">
        <f>IF(C593="","",IFERROR(INDEX(Catalogo!$G$5:$G$129,MATCH(C593,Catalogo!$A$5:$A$129,0)),""))</f>
        <v/>
      </c>
      <c r="X593" s="12">
        <f>IF(C593="","",IF(ISNUMBER(F593),F593,IF(AND(ISNUMBER(D593),ISNUMBER(E593),E593&gt;0),D593/E593*IF(W593="%",100,1),IF(ISNUMBER(D593),D593,""))))</f>
        <v/>
      </c>
      <c r="Y593" s="11">
        <f>IF(C593="","",IF(A593="","Falta periodo",IF(COUNTIF(Listas!$A$2:$A$134,A593)=0,"Periodo no válido",IF(X593="","Falta valor",IF(I593="","Falta fuente: no se mostrará",IF(AND(J593="",K593=""),"Sin evidencia",IF(N593&lt;&gt;"Validado","Sin validar","OK")))))))</f>
        <v/>
      </c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9" t="n"/>
      <c r="N594" s="8" t="n"/>
      <c r="O594" s="8" t="n"/>
      <c r="P594" s="9" t="n"/>
      <c r="Q594" s="8" t="n"/>
      <c r="R594" s="8" t="n"/>
      <c r="S594" s="8" t="n"/>
      <c r="T594" s="8" t="n"/>
      <c r="U594" s="8" t="n"/>
      <c r="V594" s="11">
        <f>IF(C594="","",IFERROR(INDEX(Catalogo!$C$5:$C$129,MATCH(C594,Catalogo!$A$5:$A$129,0)),"Código no existe"))</f>
        <v/>
      </c>
      <c r="W594" s="11">
        <f>IF(C594="","",IFERROR(INDEX(Catalogo!$G$5:$G$129,MATCH(C594,Catalogo!$A$5:$A$129,0)),""))</f>
        <v/>
      </c>
      <c r="X594" s="12">
        <f>IF(C594="","",IF(ISNUMBER(F594),F594,IF(AND(ISNUMBER(D594),ISNUMBER(E594),E594&gt;0),D594/E594*IF(W594="%",100,1),IF(ISNUMBER(D594),D594,""))))</f>
        <v/>
      </c>
      <c r="Y594" s="11">
        <f>IF(C594="","",IF(A594="","Falta periodo",IF(COUNTIF(Listas!$A$2:$A$134,A594)=0,"Periodo no válido",IF(X594="","Falta valor",IF(I594="","Falta fuente: no se mostrará",IF(AND(J594="",K594=""),"Sin evidencia",IF(N594&lt;&gt;"Validado","Sin validar","OK")))))))</f>
        <v/>
      </c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9" t="n"/>
      <c r="N595" s="8" t="n"/>
      <c r="O595" s="8" t="n"/>
      <c r="P595" s="9" t="n"/>
      <c r="Q595" s="8" t="n"/>
      <c r="R595" s="8" t="n"/>
      <c r="S595" s="8" t="n"/>
      <c r="T595" s="8" t="n"/>
      <c r="U595" s="8" t="n"/>
      <c r="V595" s="11">
        <f>IF(C595="","",IFERROR(INDEX(Catalogo!$C$5:$C$129,MATCH(C595,Catalogo!$A$5:$A$129,0)),"Código no existe"))</f>
        <v/>
      </c>
      <c r="W595" s="11">
        <f>IF(C595="","",IFERROR(INDEX(Catalogo!$G$5:$G$129,MATCH(C595,Catalogo!$A$5:$A$129,0)),""))</f>
        <v/>
      </c>
      <c r="X595" s="12">
        <f>IF(C595="","",IF(ISNUMBER(F595),F595,IF(AND(ISNUMBER(D595),ISNUMBER(E595),E595&gt;0),D595/E595*IF(W595="%",100,1),IF(ISNUMBER(D595),D595,""))))</f>
        <v/>
      </c>
      <c r="Y595" s="11">
        <f>IF(C595="","",IF(A595="","Falta periodo",IF(COUNTIF(Listas!$A$2:$A$134,A595)=0,"Periodo no válido",IF(X595="","Falta valor",IF(I595="","Falta fuente: no se mostrará",IF(AND(J595="",K595=""),"Sin evidencia",IF(N595&lt;&gt;"Validado","Sin validar","OK")))))))</f>
        <v/>
      </c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9" t="n"/>
      <c r="N596" s="8" t="n"/>
      <c r="O596" s="8" t="n"/>
      <c r="P596" s="9" t="n"/>
      <c r="Q596" s="8" t="n"/>
      <c r="R596" s="8" t="n"/>
      <c r="S596" s="8" t="n"/>
      <c r="T596" s="8" t="n"/>
      <c r="U596" s="8" t="n"/>
      <c r="V596" s="11">
        <f>IF(C596="","",IFERROR(INDEX(Catalogo!$C$5:$C$129,MATCH(C596,Catalogo!$A$5:$A$129,0)),"Código no existe"))</f>
        <v/>
      </c>
      <c r="W596" s="11">
        <f>IF(C596="","",IFERROR(INDEX(Catalogo!$G$5:$G$129,MATCH(C596,Catalogo!$A$5:$A$129,0)),""))</f>
        <v/>
      </c>
      <c r="X596" s="12">
        <f>IF(C596="","",IF(ISNUMBER(F596),F596,IF(AND(ISNUMBER(D596),ISNUMBER(E596),E596&gt;0),D596/E596*IF(W596="%",100,1),IF(ISNUMBER(D596),D596,""))))</f>
        <v/>
      </c>
      <c r="Y596" s="11">
        <f>IF(C596="","",IF(A596="","Falta periodo",IF(COUNTIF(Listas!$A$2:$A$134,A596)=0,"Periodo no válido",IF(X596="","Falta valor",IF(I596="","Falta fuente: no se mostrará",IF(AND(J596="",K596=""),"Sin evidencia",IF(N596&lt;&gt;"Validado","Sin validar","OK")))))))</f>
        <v/>
      </c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9" t="n"/>
      <c r="N597" s="8" t="n"/>
      <c r="O597" s="8" t="n"/>
      <c r="P597" s="9" t="n"/>
      <c r="Q597" s="8" t="n"/>
      <c r="R597" s="8" t="n"/>
      <c r="S597" s="8" t="n"/>
      <c r="T597" s="8" t="n"/>
      <c r="U597" s="8" t="n"/>
      <c r="V597" s="11">
        <f>IF(C597="","",IFERROR(INDEX(Catalogo!$C$5:$C$129,MATCH(C597,Catalogo!$A$5:$A$129,0)),"Código no existe"))</f>
        <v/>
      </c>
      <c r="W597" s="11">
        <f>IF(C597="","",IFERROR(INDEX(Catalogo!$G$5:$G$129,MATCH(C597,Catalogo!$A$5:$A$129,0)),""))</f>
        <v/>
      </c>
      <c r="X597" s="12">
        <f>IF(C597="","",IF(ISNUMBER(F597),F597,IF(AND(ISNUMBER(D597),ISNUMBER(E597),E597&gt;0),D597/E597*IF(W597="%",100,1),IF(ISNUMBER(D597),D597,""))))</f>
        <v/>
      </c>
      <c r="Y597" s="11">
        <f>IF(C597="","",IF(A597="","Falta periodo",IF(COUNTIF(Listas!$A$2:$A$134,A597)=0,"Periodo no válido",IF(X597="","Falta valor",IF(I597="","Falta fuente: no se mostrará",IF(AND(J597="",K597=""),"Sin evidencia",IF(N597&lt;&gt;"Validado","Sin validar","OK")))))))</f>
        <v/>
      </c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9" t="n"/>
      <c r="N598" s="8" t="n"/>
      <c r="O598" s="8" t="n"/>
      <c r="P598" s="9" t="n"/>
      <c r="Q598" s="8" t="n"/>
      <c r="R598" s="8" t="n"/>
      <c r="S598" s="8" t="n"/>
      <c r="T598" s="8" t="n"/>
      <c r="U598" s="8" t="n"/>
      <c r="V598" s="11">
        <f>IF(C598="","",IFERROR(INDEX(Catalogo!$C$5:$C$129,MATCH(C598,Catalogo!$A$5:$A$129,0)),"Código no existe"))</f>
        <v/>
      </c>
      <c r="W598" s="11">
        <f>IF(C598="","",IFERROR(INDEX(Catalogo!$G$5:$G$129,MATCH(C598,Catalogo!$A$5:$A$129,0)),""))</f>
        <v/>
      </c>
      <c r="X598" s="12">
        <f>IF(C598="","",IF(ISNUMBER(F598),F598,IF(AND(ISNUMBER(D598),ISNUMBER(E598),E598&gt;0),D598/E598*IF(W598="%",100,1),IF(ISNUMBER(D598),D598,""))))</f>
        <v/>
      </c>
      <c r="Y598" s="11">
        <f>IF(C598="","",IF(A598="","Falta periodo",IF(COUNTIF(Listas!$A$2:$A$134,A598)=0,"Periodo no válido",IF(X598="","Falta valor",IF(I598="","Falta fuente: no se mostrará",IF(AND(J598="",K598=""),"Sin evidencia",IF(N598&lt;&gt;"Validado","Sin validar","OK")))))))</f>
        <v/>
      </c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9" t="n"/>
      <c r="N599" s="8" t="n"/>
      <c r="O599" s="8" t="n"/>
      <c r="P599" s="9" t="n"/>
      <c r="Q599" s="8" t="n"/>
      <c r="R599" s="8" t="n"/>
      <c r="S599" s="8" t="n"/>
      <c r="T599" s="8" t="n"/>
      <c r="U599" s="8" t="n"/>
      <c r="V599" s="11">
        <f>IF(C599="","",IFERROR(INDEX(Catalogo!$C$5:$C$129,MATCH(C599,Catalogo!$A$5:$A$129,0)),"Código no existe"))</f>
        <v/>
      </c>
      <c r="W599" s="11">
        <f>IF(C599="","",IFERROR(INDEX(Catalogo!$G$5:$G$129,MATCH(C599,Catalogo!$A$5:$A$129,0)),""))</f>
        <v/>
      </c>
      <c r="X599" s="12">
        <f>IF(C599="","",IF(ISNUMBER(F599),F599,IF(AND(ISNUMBER(D599),ISNUMBER(E599),E599&gt;0),D599/E599*IF(W599="%",100,1),IF(ISNUMBER(D599),D599,""))))</f>
        <v/>
      </c>
      <c r="Y599" s="11">
        <f>IF(C599="","",IF(A599="","Falta periodo",IF(COUNTIF(Listas!$A$2:$A$134,A599)=0,"Periodo no válido",IF(X599="","Falta valor",IF(I599="","Falta fuente: no se mostrará",IF(AND(J599="",K599=""),"Sin evidencia",IF(N599&lt;&gt;"Validado","Sin validar","OK")))))))</f>
        <v/>
      </c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9" t="n"/>
      <c r="N600" s="8" t="n"/>
      <c r="O600" s="8" t="n"/>
      <c r="P600" s="9" t="n"/>
      <c r="Q600" s="8" t="n"/>
      <c r="R600" s="8" t="n"/>
      <c r="S600" s="8" t="n"/>
      <c r="T600" s="8" t="n"/>
      <c r="U600" s="8" t="n"/>
      <c r="V600" s="11">
        <f>IF(C600="","",IFERROR(INDEX(Catalogo!$C$5:$C$129,MATCH(C600,Catalogo!$A$5:$A$129,0)),"Código no existe"))</f>
        <v/>
      </c>
      <c r="W600" s="11">
        <f>IF(C600="","",IFERROR(INDEX(Catalogo!$G$5:$G$129,MATCH(C600,Catalogo!$A$5:$A$129,0)),""))</f>
        <v/>
      </c>
      <c r="X600" s="12">
        <f>IF(C600="","",IF(ISNUMBER(F600),F600,IF(AND(ISNUMBER(D600),ISNUMBER(E600),E600&gt;0),D600/E600*IF(W600="%",100,1),IF(ISNUMBER(D600),D600,""))))</f>
        <v/>
      </c>
      <c r="Y600" s="11">
        <f>IF(C600="","",IF(A600="","Falta periodo",IF(COUNTIF(Listas!$A$2:$A$134,A600)=0,"Periodo no válido",IF(X600="","Falta valor",IF(I600="","Falta fuente: no se mostrará",IF(AND(J600="",K600=""),"Sin evidencia",IF(N600&lt;&gt;"Validado","Sin validar","OK")))))))</f>
        <v/>
      </c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9" t="n"/>
      <c r="N601" s="8" t="n"/>
      <c r="O601" s="8" t="n"/>
      <c r="P601" s="9" t="n"/>
      <c r="Q601" s="8" t="n"/>
      <c r="R601" s="8" t="n"/>
      <c r="S601" s="8" t="n"/>
      <c r="T601" s="8" t="n"/>
      <c r="U601" s="8" t="n"/>
      <c r="V601" s="11">
        <f>IF(C601="","",IFERROR(INDEX(Catalogo!$C$5:$C$129,MATCH(C601,Catalogo!$A$5:$A$129,0)),"Código no existe"))</f>
        <v/>
      </c>
      <c r="W601" s="11">
        <f>IF(C601="","",IFERROR(INDEX(Catalogo!$G$5:$G$129,MATCH(C601,Catalogo!$A$5:$A$129,0)),""))</f>
        <v/>
      </c>
      <c r="X601" s="12">
        <f>IF(C601="","",IF(ISNUMBER(F601),F601,IF(AND(ISNUMBER(D601),ISNUMBER(E601),E601&gt;0),D601/E601*IF(W601="%",100,1),IF(ISNUMBER(D601),D601,""))))</f>
        <v/>
      </c>
      <c r="Y601" s="11">
        <f>IF(C601="","",IF(A601="","Falta periodo",IF(COUNTIF(Listas!$A$2:$A$134,A601)=0,"Periodo no válido",IF(X601="","Falta valor",IF(I601="","Falta fuente: no se mostrará",IF(AND(J601="",K601=""),"Sin evidencia",IF(N601&lt;&gt;"Validado","Sin validar","OK")))))))</f>
        <v/>
      </c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9" t="n"/>
      <c r="N602" s="8" t="n"/>
      <c r="O602" s="8" t="n"/>
      <c r="P602" s="9" t="n"/>
      <c r="Q602" s="8" t="n"/>
      <c r="R602" s="8" t="n"/>
      <c r="S602" s="8" t="n"/>
      <c r="T602" s="8" t="n"/>
      <c r="U602" s="8" t="n"/>
      <c r="V602" s="11">
        <f>IF(C602="","",IFERROR(INDEX(Catalogo!$C$5:$C$129,MATCH(C602,Catalogo!$A$5:$A$129,0)),"Código no existe"))</f>
        <v/>
      </c>
      <c r="W602" s="11">
        <f>IF(C602="","",IFERROR(INDEX(Catalogo!$G$5:$G$129,MATCH(C602,Catalogo!$A$5:$A$129,0)),""))</f>
        <v/>
      </c>
      <c r="X602" s="12">
        <f>IF(C602="","",IF(ISNUMBER(F602),F602,IF(AND(ISNUMBER(D602),ISNUMBER(E602),E602&gt;0),D602/E602*IF(W602="%",100,1),IF(ISNUMBER(D602),D602,""))))</f>
        <v/>
      </c>
      <c r="Y602" s="11">
        <f>IF(C602="","",IF(A602="","Falta periodo",IF(COUNTIF(Listas!$A$2:$A$134,A602)=0,"Periodo no válido",IF(X602="","Falta valor",IF(I602="","Falta fuente: no se mostrará",IF(AND(J602="",K602=""),"Sin evidencia",IF(N602&lt;&gt;"Validado","Sin validar","OK")))))))</f>
        <v/>
      </c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9" t="n"/>
      <c r="N603" s="8" t="n"/>
      <c r="O603" s="8" t="n"/>
      <c r="P603" s="9" t="n"/>
      <c r="Q603" s="8" t="n"/>
      <c r="R603" s="8" t="n"/>
      <c r="S603" s="8" t="n"/>
      <c r="T603" s="8" t="n"/>
      <c r="U603" s="8" t="n"/>
      <c r="V603" s="11">
        <f>IF(C603="","",IFERROR(INDEX(Catalogo!$C$5:$C$129,MATCH(C603,Catalogo!$A$5:$A$129,0)),"Código no existe"))</f>
        <v/>
      </c>
      <c r="W603" s="11">
        <f>IF(C603="","",IFERROR(INDEX(Catalogo!$G$5:$G$129,MATCH(C603,Catalogo!$A$5:$A$129,0)),""))</f>
        <v/>
      </c>
      <c r="X603" s="12">
        <f>IF(C603="","",IF(ISNUMBER(F603),F603,IF(AND(ISNUMBER(D603),ISNUMBER(E603),E603&gt;0),D603/E603*IF(W603="%",100,1),IF(ISNUMBER(D603),D603,""))))</f>
        <v/>
      </c>
      <c r="Y603" s="11">
        <f>IF(C603="","",IF(A603="","Falta periodo",IF(COUNTIF(Listas!$A$2:$A$134,A603)=0,"Periodo no válido",IF(X603="","Falta valor",IF(I603="","Falta fuente: no se mostrará",IF(AND(J603="",K603=""),"Sin evidencia",IF(N603&lt;&gt;"Validado","Sin validar","OK")))))))</f>
        <v/>
      </c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9" t="n"/>
      <c r="N604" s="8" t="n"/>
      <c r="O604" s="8" t="n"/>
      <c r="P604" s="9" t="n"/>
      <c r="Q604" s="8" t="n"/>
      <c r="R604" s="8" t="n"/>
      <c r="S604" s="8" t="n"/>
      <c r="T604" s="8" t="n"/>
      <c r="U604" s="8" t="n"/>
      <c r="V604" s="11">
        <f>IF(C604="","",IFERROR(INDEX(Catalogo!$C$5:$C$129,MATCH(C604,Catalogo!$A$5:$A$129,0)),"Código no existe"))</f>
        <v/>
      </c>
      <c r="W604" s="11">
        <f>IF(C604="","",IFERROR(INDEX(Catalogo!$G$5:$G$129,MATCH(C604,Catalogo!$A$5:$A$129,0)),""))</f>
        <v/>
      </c>
      <c r="X604" s="12">
        <f>IF(C604="","",IF(ISNUMBER(F604),F604,IF(AND(ISNUMBER(D604),ISNUMBER(E604),E604&gt;0),D604/E604*IF(W604="%",100,1),IF(ISNUMBER(D604),D604,""))))</f>
        <v/>
      </c>
      <c r="Y604" s="11">
        <f>IF(C604="","",IF(A604="","Falta periodo",IF(COUNTIF(Listas!$A$2:$A$134,A604)=0,"Periodo no válido",IF(X604="","Falta valor",IF(I604="","Falta fuente: no se mostrará",IF(AND(J604="",K604=""),"Sin evidencia",IF(N604&lt;&gt;"Validado","Sin validar","OK")))))))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Y604"/>
  <conditionalFormatting sqref="Y5:Y604">
    <cfRule type="expression" priority="1" dxfId="0">
      <formula>AND(Y5&lt;&gt;"",Y5&lt;&gt;"OK")</formula>
    </cfRule>
    <cfRule type="expression" priority="2" dxfId="1">
      <formula>Y5="OK"</formula>
    </cfRule>
  </conditionalFormatting>
  <dataValidations count="12">
    <dataValidation sqref="A5:A604" showDropDown="0" showInputMessage="1" showErrorMessage="1" allowBlank="1" errorTitle="Valor no válido" error="Elige un valor de la lista." promptTitle="Periodo" prompt="2025, 2025-S1, 2025-T2 o 2026-02" type="list">
      <formula1>=Listas!$A$2:$A$134</formula1>
    </dataValidation>
    <dataValidation sqref="B5:B604" showDropDown="0" showInputMessage="1" showErrorMessage="1" allowBlank="1" errorTitle="Valor no válido" error="Elige un valor de la lista." promptTitle="Área" prompt="Solo Tecnología Médica: elige el área. Enfermería y Obstetricia dejan el área vacía." type="list">
      <formula1>=Listas!$D$2:$D$5</formula1>
    </dataValidation>
    <dataValidation sqref="C5:C604" showDropDown="0" showInputMessage="1" showErrorMessage="1" allowBlank="0" errorTitle="Valor no válido" error="Elige un valor de la lista." promptTitle="Indicador" prompt="Elige el código; ver hoja Catalogo" type="list">
      <formula1>=Listas!$E$2:$E$126</formula1>
    </dataValidation>
    <dataValidation sqref="J5:J604" showDropDown="0" showInputMessage="1" showErrorMessage="1" allowBlank="1" errorTitle="Valor no válido" error="Elige un valor de la lista." promptTitle="Evidencia (EV)" prompt="Código de evidencia del modelo CONEAU" type="list">
      <formula1>=Listas!$C$2:$C$53</formula1>
    </dataValidation>
    <dataValidation sqref="N5:N604" showDropDown="0" showInputMessage="1" showErrorMessage="1" allowBlank="1" errorTitle="Valor no válido" error="Elige un valor de la lista." promptTitle="Estado" prompt="Borrador, Observado o Validado" type="list">
      <formula1>=Listas!$B$2:$B$4</formula1>
    </dataValidation>
    <dataValidation sqref="S5:S604" showDropDown="0" showInputMessage="1" showErrorMessage="1" allowBlank="1" errorTitle="Valor no válido" error="Elige un valor de la lista." promptTitle="Origen" prompt="Real, o EJEMPLO si es un dato de prueba" type="list">
      <formula1>=Listas!$H$2:$H$3</formula1>
    </dataValidation>
    <dataValidation sqref="D5:D604" showDropDown="0" showInputMessage="0" showErrorMessage="1" allowBlank="1" errorTitle="Numerador" error="Escribe un número mayor o igual que 0, sin el signo %." type="decimal" operator="greaterThanOrEqual">
      <formula1>0</formula1>
    </dataValidation>
    <dataValidation sqref="E5:E604" showDropDown="0" showInputMessage="0" showErrorMessage="1" allowBlank="1" errorTitle="Denominador" error="Escribe un número mayor que 0." type="decimal" operator="greaterThan">
      <formula1>0</formula1>
    </dataValidation>
    <dataValidation sqref="F5:G604 T5:T604" showDropDown="0" showInputMessage="0" showErrorMessage="1" allowBlank="1" errorTitle="Valor" error="Escribe un número, sin el signo %." type="decimal" operator="between">
      <formula1>-1000000</formula1>
      <formula2>1000000</formula2>
    </dataValidation>
    <dataValidation sqref="M5:M604 P5:P604" showDropDown="0" showInputMessage="0" showErrorMessage="1" allowBlank="1" errorTitle="Fecha" error="Escribe una fecha válida (AAAA-MM-DD)." type="date" operator="greaterThan">
      <formula1>43831</formula1>
    </dataValidation>
    <dataValidation sqref="Q5:Q604" showDropDown="0" showInputMessage="0" showErrorMessage="1" allowBlank="1" errorTitle="Versión" error="Escribe un entero desde 1." type="whole" operator="greaterThanOrEqual">
      <formula1>1</formula1>
    </dataValidation>
    <dataValidation sqref="H5:I604 K5:L604 O5:O604 R5:R604 U5:U604" showDropDown="0" showInputMessage="0" showErrorMessage="1" allowBlank="1" errorTitle="Texto largo" error="Máximo 400 caracteres." type="textLength" operator="lessThanOrEqual">
      <formula1>400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/>
  </sheetPr>
  <dimension ref="A1:J2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38" customWidth="1" min="4" max="4"/>
    <col width="28" customWidth="1" min="5" max="5"/>
    <col width="14" customWidth="1" min="6" max="6"/>
    <col width="30" customWidth="1" min="7" max="7"/>
    <col width="10" customWidth="1" min="8" max="8"/>
    <col width="10" customWidth="1" min="9" max="9"/>
    <col width="90" customWidth="1" min="10" max="10"/>
  </cols>
  <sheetData>
    <row r="1">
      <c r="A1" s="1" t="inlineStr">
        <is>
          <t>Evidencias del modelo CONEAU por área</t>
        </is>
      </c>
    </row>
    <row r="2">
      <c r="A2" s="2" t="inlineStr">
        <is>
          <t>EV1 a EV52. Tecnología Médica: una fila por evidencia y por área (Radiología, Terapia Física, Terapia Ocupacional, Laboratorio Clínico y Anatomía Patológica). Enfermería y Obstetricia: área vacía.</t>
        </is>
      </c>
    </row>
    <row r="4" ht="32" customHeight="1">
      <c r="A4" s="5" t="inlineStr">
        <is>
          <t>ev_id</t>
        </is>
      </c>
      <c r="B4" s="5" t="inlineStr">
        <is>
          <t>area_id</t>
        </is>
      </c>
      <c r="C4" s="5" t="inlineStr">
        <is>
          <t>estado</t>
        </is>
      </c>
      <c r="D4" s="5" t="inlineStr">
        <is>
          <t>ubicacion</t>
        </is>
      </c>
      <c r="E4" s="5" t="inlineStr">
        <is>
          <t>responsable</t>
        </is>
      </c>
      <c r="F4" s="5" t="inlineStr">
        <is>
          <t>fecha_actualizacion</t>
        </is>
      </c>
      <c r="G4" s="5" t="inlineStr">
        <is>
          <t>observacion</t>
        </is>
      </c>
      <c r="H4" s="5" t="inlineStr">
        <is>
          <t>origen</t>
        </is>
      </c>
      <c r="I4" s="10" t="inlineStr">
        <is>
          <t>estandar</t>
        </is>
      </c>
      <c r="J4" s="10" t="inlineStr">
        <is>
          <t>descripcion (paráfrasis)</t>
        </is>
      </c>
    </row>
    <row r="5">
      <c r="A5" s="8" t="inlineStr">
        <is>
          <t>EV1</t>
        </is>
      </c>
      <c r="B5" s="8" t="n"/>
      <c r="C5" s="8" t="inlineStr">
        <is>
          <t>Disponible</t>
        </is>
      </c>
      <c r="D5" s="8" t="inlineStr">
        <is>
          <t>EJEMPLO_EV1.pdf</t>
        </is>
      </c>
      <c r="E5" s="8" t="inlineStr">
        <is>
          <t>EJEMPLO Coord. de calidad de Obstetricia</t>
        </is>
      </c>
      <c r="F5" s="9" t="n">
        <v>46280</v>
      </c>
      <c r="G5" s="8" t="n"/>
      <c r="H5" s="8" t="inlineStr">
        <is>
          <t>EJEMPLO</t>
        </is>
      </c>
      <c r="I5" s="11">
        <f>IF(A5="","",IFERROR(INDEX(CONEAU_EV_EST,MATCH(A5,CONEAU_EV_ID,0)),""))</f>
        <v/>
      </c>
      <c r="J5" s="11">
        <f>IF(A5="","",IFERROR(INDEX(CONEAU_EV_DESC,MATCH(A5,CONEAU_EV_ID,0)),""))</f>
        <v/>
      </c>
    </row>
    <row r="6">
      <c r="A6" s="8" t="inlineStr">
        <is>
          <t>EV2</t>
        </is>
      </c>
      <c r="B6" s="8" t="n"/>
      <c r="C6" s="8" t="inlineStr">
        <is>
          <t>En elaboración</t>
        </is>
      </c>
      <c r="D6" s="8" t="inlineStr">
        <is>
          <t>EJEMPLO_EV2.pdf</t>
        </is>
      </c>
      <c r="E6" s="8" t="inlineStr">
        <is>
          <t>EJEMPLO Coord. de calidad de Obstetricia</t>
        </is>
      </c>
      <c r="F6" s="9" t="n">
        <v>46280</v>
      </c>
      <c r="G6" s="8" t="n"/>
      <c r="H6" s="8" t="inlineStr">
        <is>
          <t>EJEMPLO</t>
        </is>
      </c>
      <c r="I6" s="11">
        <f>IF(A6="","",IFERROR(INDEX(CONEAU_EV_EST,MATCH(A6,CONEAU_EV_ID,0)),""))</f>
        <v/>
      </c>
      <c r="J6" s="11">
        <f>IF(A6="","",IFERROR(INDEX(CONEAU_EV_DESC,MATCH(A6,CONEAU_EV_ID,0)),""))</f>
        <v/>
      </c>
    </row>
    <row r="7">
      <c r="A7" s="8" t="inlineStr">
        <is>
          <t>EV3</t>
        </is>
      </c>
      <c r="B7" s="8" t="n"/>
      <c r="C7" s="8" t="inlineStr">
        <is>
          <t>Validada</t>
        </is>
      </c>
      <c r="D7" s="8" t="inlineStr">
        <is>
          <t>EJEMPLO_EV3.pdf</t>
        </is>
      </c>
      <c r="E7" s="8" t="inlineStr">
        <is>
          <t>EJEMPLO Coord. de calidad de Obstetricia</t>
        </is>
      </c>
      <c r="F7" s="9" t="n">
        <v>46280</v>
      </c>
      <c r="G7" s="8" t="n"/>
      <c r="H7" s="8" t="inlineStr">
        <is>
          <t>EJEMPLO</t>
        </is>
      </c>
      <c r="I7" s="11">
        <f>IF(A7="","",IFERROR(INDEX(CONEAU_EV_EST,MATCH(A7,CONEAU_EV_ID,0)),""))</f>
        <v/>
      </c>
      <c r="J7" s="11">
        <f>IF(A7="","",IFERROR(INDEX(CONEAU_EV_DESC,MATCH(A7,CONEAU_EV_ID,0)),""))</f>
        <v/>
      </c>
    </row>
    <row r="8">
      <c r="A8" s="8" t="inlineStr">
        <is>
          <t>EV4</t>
        </is>
      </c>
      <c r="B8" s="8" t="n"/>
      <c r="C8" s="8" t="inlineStr">
        <is>
          <t>Validada</t>
        </is>
      </c>
      <c r="D8" s="8" t="inlineStr">
        <is>
          <t>EJEMPLO_EV4.pdf</t>
        </is>
      </c>
      <c r="E8" s="8" t="inlineStr">
        <is>
          <t>EJEMPLO Coord. de calidad de Obstetricia</t>
        </is>
      </c>
      <c r="F8" s="9" t="n">
        <v>46280</v>
      </c>
      <c r="G8" s="8" t="n"/>
      <c r="H8" s="8" t="inlineStr">
        <is>
          <t>EJEMPLO</t>
        </is>
      </c>
      <c r="I8" s="11">
        <f>IF(A8="","",IFERROR(INDEX(CONEAU_EV_EST,MATCH(A8,CONEAU_EV_ID,0)),""))</f>
        <v/>
      </c>
      <c r="J8" s="11">
        <f>IF(A8="","",IFERROR(INDEX(CONEAU_EV_DESC,MATCH(A8,CONEAU_EV_ID,0)),""))</f>
        <v/>
      </c>
    </row>
    <row r="9">
      <c r="A9" s="8" t="inlineStr">
        <is>
          <t>EV5</t>
        </is>
      </c>
      <c r="B9" s="8" t="n"/>
      <c r="C9" s="8" t="inlineStr">
        <is>
          <t>Disponible</t>
        </is>
      </c>
      <c r="D9" s="8" t="inlineStr">
        <is>
          <t>EJEMPLO_EV5.pdf</t>
        </is>
      </c>
      <c r="E9" s="8" t="inlineStr">
        <is>
          <t>EJEMPLO Coord. de calidad de Obstetricia</t>
        </is>
      </c>
      <c r="F9" s="9" t="n">
        <v>46280</v>
      </c>
      <c r="G9" s="8" t="n"/>
      <c r="H9" s="8" t="inlineStr">
        <is>
          <t>EJEMPLO</t>
        </is>
      </c>
      <c r="I9" s="11">
        <f>IF(A9="","",IFERROR(INDEX(CONEAU_EV_EST,MATCH(A9,CONEAU_EV_ID,0)),""))</f>
        <v/>
      </c>
      <c r="J9" s="11">
        <f>IF(A9="","",IFERROR(INDEX(CONEAU_EV_DESC,MATCH(A9,CONEAU_EV_ID,0)),""))</f>
        <v/>
      </c>
    </row>
    <row r="10">
      <c r="A10" s="8" t="inlineStr">
        <is>
          <t>EV6</t>
        </is>
      </c>
      <c r="B10" s="8" t="n"/>
      <c r="C10" s="8" t="inlineStr">
        <is>
          <t>En elaboración</t>
        </is>
      </c>
      <c r="D10" s="8" t="inlineStr">
        <is>
          <t>EJEMPLO_EV6.pdf</t>
        </is>
      </c>
      <c r="E10" s="8" t="inlineStr">
        <is>
          <t>EJEMPLO Coord. de calidad de Obstetricia</t>
        </is>
      </c>
      <c r="F10" s="9" t="n">
        <v>46280</v>
      </c>
      <c r="G10" s="8" t="n"/>
      <c r="H10" s="8" t="inlineStr">
        <is>
          <t>EJEMPLO</t>
        </is>
      </c>
      <c r="I10" s="11">
        <f>IF(A10="","",IFERROR(INDEX(CONEAU_EV_EST,MATCH(A10,CONEAU_EV_ID,0)),""))</f>
        <v/>
      </c>
      <c r="J10" s="11">
        <f>IF(A10="","",IFERROR(INDEX(CONEAU_EV_DESC,MATCH(A10,CONEAU_EV_ID,0)),""))</f>
        <v/>
      </c>
    </row>
    <row r="11">
      <c r="A11" s="8" t="inlineStr">
        <is>
          <t>EV7</t>
        </is>
      </c>
      <c r="B11" s="8" t="n"/>
      <c r="C11" s="8" t="inlineStr">
        <is>
          <t>No iniciada</t>
        </is>
      </c>
      <c r="D11" s="8" t="n"/>
      <c r="E11" s="8" t="inlineStr">
        <is>
          <t>EJEMPLO Coord. de calidad de Obstetricia</t>
        </is>
      </c>
      <c r="F11" s="9" t="n"/>
      <c r="G11" s="8" t="n"/>
      <c r="H11" s="8" t="inlineStr">
        <is>
          <t>EJEMPLO</t>
        </is>
      </c>
      <c r="I11" s="11">
        <f>IF(A11="","",IFERROR(INDEX(CONEAU_EV_EST,MATCH(A11,CONEAU_EV_ID,0)),""))</f>
        <v/>
      </c>
      <c r="J11" s="11">
        <f>IF(A11="","",IFERROR(INDEX(CONEAU_EV_DESC,MATCH(A11,CONEAU_EV_ID,0)),""))</f>
        <v/>
      </c>
    </row>
    <row r="12">
      <c r="A12" s="8" t="inlineStr">
        <is>
          <t>EV8</t>
        </is>
      </c>
      <c r="B12" s="8" t="n"/>
      <c r="C12" s="8" t="inlineStr">
        <is>
          <t>Validada</t>
        </is>
      </c>
      <c r="D12" s="8" t="inlineStr">
        <is>
          <t>EJEMPLO_EV8.pdf</t>
        </is>
      </c>
      <c r="E12" s="8" t="inlineStr">
        <is>
          <t>EJEMPLO Coord. de calidad de Obstetricia</t>
        </is>
      </c>
      <c r="F12" s="9" t="n">
        <v>46280</v>
      </c>
      <c r="G12" s="8" t="n"/>
      <c r="H12" s="8" t="inlineStr">
        <is>
          <t>EJEMPLO</t>
        </is>
      </c>
      <c r="I12" s="11">
        <f>IF(A12="","",IFERROR(INDEX(CONEAU_EV_EST,MATCH(A12,CONEAU_EV_ID,0)),""))</f>
        <v/>
      </c>
      <c r="J12" s="11">
        <f>IF(A12="","",IFERROR(INDEX(CONEAU_EV_DESC,MATCH(A12,CONEAU_EV_ID,0)),""))</f>
        <v/>
      </c>
    </row>
    <row r="13">
      <c r="A13" s="8" t="inlineStr">
        <is>
          <t>EV9</t>
        </is>
      </c>
      <c r="B13" s="8" t="n"/>
      <c r="C13" s="8" t="inlineStr">
        <is>
          <t>Disponible</t>
        </is>
      </c>
      <c r="D13" s="8" t="inlineStr">
        <is>
          <t>EJEMPLO_EV9.pdf</t>
        </is>
      </c>
      <c r="E13" s="8" t="inlineStr">
        <is>
          <t>EJEMPLO Coord. de calidad de Obstetricia</t>
        </is>
      </c>
      <c r="F13" s="9" t="n">
        <v>46280</v>
      </c>
      <c r="G13" s="8" t="n"/>
      <c r="H13" s="8" t="inlineStr">
        <is>
          <t>EJEMPLO</t>
        </is>
      </c>
      <c r="I13" s="11">
        <f>IF(A13="","",IFERROR(INDEX(CONEAU_EV_EST,MATCH(A13,CONEAU_EV_ID,0)),""))</f>
        <v/>
      </c>
      <c r="J13" s="11">
        <f>IF(A13="","",IFERROR(INDEX(CONEAU_EV_DESC,MATCH(A13,CONEAU_EV_ID,0)),""))</f>
        <v/>
      </c>
    </row>
    <row r="14">
      <c r="A14" s="8" t="inlineStr">
        <is>
          <t>EV10</t>
        </is>
      </c>
      <c r="B14" s="8" t="n"/>
      <c r="C14" s="8" t="inlineStr">
        <is>
          <t>No iniciada</t>
        </is>
      </c>
      <c r="D14" s="8" t="n"/>
      <c r="E14" s="8" t="inlineStr">
        <is>
          <t>EJEMPLO Coord. de calidad de Obstetricia</t>
        </is>
      </c>
      <c r="F14" s="9" t="n"/>
      <c r="G14" s="8" t="n"/>
      <c r="H14" s="8" t="inlineStr">
        <is>
          <t>EJEMPLO</t>
        </is>
      </c>
      <c r="I14" s="11">
        <f>IF(A14="","",IFERROR(INDEX(CONEAU_EV_EST,MATCH(A14,CONEAU_EV_ID,0)),""))</f>
        <v/>
      </c>
      <c r="J14" s="11">
        <f>IF(A14="","",IFERROR(INDEX(CONEAU_EV_DESC,MATCH(A14,CONEAU_EV_ID,0)),""))</f>
        <v/>
      </c>
    </row>
    <row r="15">
      <c r="A15" s="8" t="inlineStr">
        <is>
          <t>EV11</t>
        </is>
      </c>
      <c r="B15" s="8" t="n"/>
      <c r="C15" s="8" t="inlineStr">
        <is>
          <t>No iniciada</t>
        </is>
      </c>
      <c r="D15" s="8" t="n"/>
      <c r="E15" s="8" t="inlineStr">
        <is>
          <t>EJEMPLO Coord. de calidad de Obstetricia</t>
        </is>
      </c>
      <c r="F15" s="9" t="n"/>
      <c r="G15" s="8" t="n"/>
      <c r="H15" s="8" t="inlineStr">
        <is>
          <t>EJEMPLO</t>
        </is>
      </c>
      <c r="I15" s="11">
        <f>IF(A15="","",IFERROR(INDEX(CONEAU_EV_EST,MATCH(A15,CONEAU_EV_ID,0)),""))</f>
        <v/>
      </c>
      <c r="J15" s="11">
        <f>IF(A15="","",IFERROR(INDEX(CONEAU_EV_DESC,MATCH(A15,CONEAU_EV_ID,0)),""))</f>
        <v/>
      </c>
    </row>
    <row r="16">
      <c r="A16" s="8" t="inlineStr">
        <is>
          <t>EV12</t>
        </is>
      </c>
      <c r="B16" s="8" t="n"/>
      <c r="C16" s="8" t="inlineStr">
        <is>
          <t>No iniciada</t>
        </is>
      </c>
      <c r="D16" s="8" t="n"/>
      <c r="E16" s="8" t="inlineStr">
        <is>
          <t>EJEMPLO Coord. de calidad de Obstetricia</t>
        </is>
      </c>
      <c r="F16" s="9" t="n"/>
      <c r="G16" s="8" t="n"/>
      <c r="H16" s="8" t="inlineStr">
        <is>
          <t>EJEMPLO</t>
        </is>
      </c>
      <c r="I16" s="11">
        <f>IF(A16="","",IFERROR(INDEX(CONEAU_EV_EST,MATCH(A16,CONEAU_EV_ID,0)),""))</f>
        <v/>
      </c>
      <c r="J16" s="11">
        <f>IF(A16="","",IFERROR(INDEX(CONEAU_EV_DESC,MATCH(A16,CONEAU_EV_ID,0)),""))</f>
        <v/>
      </c>
    </row>
    <row r="17">
      <c r="A17" s="8" t="inlineStr">
        <is>
          <t>EV13</t>
        </is>
      </c>
      <c r="B17" s="8" t="n"/>
      <c r="C17" s="8" t="inlineStr">
        <is>
          <t>En elaboración</t>
        </is>
      </c>
      <c r="D17" s="8" t="inlineStr">
        <is>
          <t>EJEMPLO_EV13.pdf</t>
        </is>
      </c>
      <c r="E17" s="8" t="inlineStr">
        <is>
          <t>EJEMPLO Coord. de calidad de Obstetricia</t>
        </is>
      </c>
      <c r="F17" s="9" t="n">
        <v>46280</v>
      </c>
      <c r="G17" s="8" t="n"/>
      <c r="H17" s="8" t="inlineStr">
        <is>
          <t>EJEMPLO</t>
        </is>
      </c>
      <c r="I17" s="11">
        <f>IF(A17="","",IFERROR(INDEX(CONEAU_EV_EST,MATCH(A17,CONEAU_EV_ID,0)),""))</f>
        <v/>
      </c>
      <c r="J17" s="11">
        <f>IF(A17="","",IFERROR(INDEX(CONEAU_EV_DESC,MATCH(A17,CONEAU_EV_ID,0)),""))</f>
        <v/>
      </c>
    </row>
    <row r="18">
      <c r="A18" s="8" t="inlineStr">
        <is>
          <t>EV14</t>
        </is>
      </c>
      <c r="B18" s="8" t="n"/>
      <c r="C18" s="8" t="inlineStr">
        <is>
          <t>Validada</t>
        </is>
      </c>
      <c r="D18" s="8" t="inlineStr">
        <is>
          <t>EJEMPLO_EV14.pdf</t>
        </is>
      </c>
      <c r="E18" s="8" t="inlineStr">
        <is>
          <t>EJEMPLO Coord. de calidad de Obstetricia</t>
        </is>
      </c>
      <c r="F18" s="9" t="n">
        <v>46280</v>
      </c>
      <c r="G18" s="8" t="n"/>
      <c r="H18" s="8" t="inlineStr">
        <is>
          <t>EJEMPLO</t>
        </is>
      </c>
      <c r="I18" s="11">
        <f>IF(A18="","",IFERROR(INDEX(CONEAU_EV_EST,MATCH(A18,CONEAU_EV_ID,0)),""))</f>
        <v/>
      </c>
      <c r="J18" s="11">
        <f>IF(A18="","",IFERROR(INDEX(CONEAU_EV_DESC,MATCH(A18,CONEAU_EV_ID,0)),""))</f>
        <v/>
      </c>
    </row>
    <row r="19">
      <c r="A19" s="8" t="inlineStr">
        <is>
          <t>EV15</t>
        </is>
      </c>
      <c r="B19" s="8" t="n"/>
      <c r="C19" s="8" t="inlineStr">
        <is>
          <t>Validada</t>
        </is>
      </c>
      <c r="D19" s="8" t="inlineStr">
        <is>
          <t>EJEMPLO_EV15.pdf</t>
        </is>
      </c>
      <c r="E19" s="8" t="inlineStr">
        <is>
          <t>EJEMPLO Coord. de calidad de Obstetricia</t>
        </is>
      </c>
      <c r="F19" s="9" t="n">
        <v>46280</v>
      </c>
      <c r="G19" s="8" t="n"/>
      <c r="H19" s="8" t="inlineStr">
        <is>
          <t>EJEMPLO</t>
        </is>
      </c>
      <c r="I19" s="11">
        <f>IF(A19="","",IFERROR(INDEX(CONEAU_EV_EST,MATCH(A19,CONEAU_EV_ID,0)),""))</f>
        <v/>
      </c>
      <c r="J19" s="11">
        <f>IF(A19="","",IFERROR(INDEX(CONEAU_EV_DESC,MATCH(A19,CONEAU_EV_ID,0)),""))</f>
        <v/>
      </c>
    </row>
    <row r="20">
      <c r="A20" s="8" t="inlineStr">
        <is>
          <t>EV16</t>
        </is>
      </c>
      <c r="B20" s="8" t="n"/>
      <c r="C20" s="8" t="inlineStr">
        <is>
          <t>Disponible</t>
        </is>
      </c>
      <c r="D20" s="8" t="inlineStr">
        <is>
          <t>EJEMPLO_EV16.pdf</t>
        </is>
      </c>
      <c r="E20" s="8" t="inlineStr">
        <is>
          <t>EJEMPLO Coord. de calidad de Obstetricia</t>
        </is>
      </c>
      <c r="F20" s="9" t="n">
        <v>46280</v>
      </c>
      <c r="G20" s="8" t="n"/>
      <c r="H20" s="8" t="inlineStr">
        <is>
          <t>EJEMPLO</t>
        </is>
      </c>
      <c r="I20" s="11">
        <f>IF(A20="","",IFERROR(INDEX(CONEAU_EV_EST,MATCH(A20,CONEAU_EV_ID,0)),""))</f>
        <v/>
      </c>
      <c r="J20" s="11">
        <f>IF(A20="","",IFERROR(INDEX(CONEAU_EV_DESC,MATCH(A20,CONEAU_EV_ID,0)),""))</f>
        <v/>
      </c>
    </row>
    <row r="21">
      <c r="A21" s="8" t="inlineStr">
        <is>
          <t>EV17</t>
        </is>
      </c>
      <c r="B21" s="8" t="n"/>
      <c r="C21" s="8" t="inlineStr">
        <is>
          <t>Disponible</t>
        </is>
      </c>
      <c r="D21" s="8" t="inlineStr">
        <is>
          <t>EJEMPLO_EV17.pdf</t>
        </is>
      </c>
      <c r="E21" s="8" t="inlineStr">
        <is>
          <t>EJEMPLO Coord. de calidad de Obstetricia</t>
        </is>
      </c>
      <c r="F21" s="9" t="n">
        <v>46280</v>
      </c>
      <c r="G21" s="8" t="n"/>
      <c r="H21" s="8" t="inlineStr">
        <is>
          <t>EJEMPLO</t>
        </is>
      </c>
      <c r="I21" s="11">
        <f>IF(A21="","",IFERROR(INDEX(CONEAU_EV_EST,MATCH(A21,CONEAU_EV_ID,0)),""))</f>
        <v/>
      </c>
      <c r="J21" s="11">
        <f>IF(A21="","",IFERROR(INDEX(CONEAU_EV_DESC,MATCH(A21,CONEAU_EV_ID,0)),""))</f>
        <v/>
      </c>
    </row>
    <row r="22">
      <c r="A22" s="8" t="inlineStr">
        <is>
          <t>EV18</t>
        </is>
      </c>
      <c r="B22" s="8" t="n"/>
      <c r="C22" s="8" t="inlineStr">
        <is>
          <t>Disponible</t>
        </is>
      </c>
      <c r="D22" s="8" t="inlineStr">
        <is>
          <t>EJEMPLO_EV18.pdf</t>
        </is>
      </c>
      <c r="E22" s="8" t="inlineStr">
        <is>
          <t>EJEMPLO Coord. de calidad de Obstetricia</t>
        </is>
      </c>
      <c r="F22" s="9" t="n">
        <v>46280</v>
      </c>
      <c r="G22" s="8" t="n"/>
      <c r="H22" s="8" t="inlineStr">
        <is>
          <t>EJEMPLO</t>
        </is>
      </c>
      <c r="I22" s="11">
        <f>IF(A22="","",IFERROR(INDEX(CONEAU_EV_EST,MATCH(A22,CONEAU_EV_ID,0)),""))</f>
        <v/>
      </c>
      <c r="J22" s="11">
        <f>IF(A22="","",IFERROR(INDEX(CONEAU_EV_DESC,MATCH(A22,CONEAU_EV_ID,0)),""))</f>
        <v/>
      </c>
    </row>
    <row r="23">
      <c r="A23" s="8" t="inlineStr">
        <is>
          <t>EV19</t>
        </is>
      </c>
      <c r="B23" s="8" t="n"/>
      <c r="C23" s="8" t="inlineStr">
        <is>
          <t>En elaboración</t>
        </is>
      </c>
      <c r="D23" s="8" t="inlineStr">
        <is>
          <t>EJEMPLO_EV19.pdf</t>
        </is>
      </c>
      <c r="E23" s="8" t="inlineStr">
        <is>
          <t>EJEMPLO Coord. de calidad de Obstetricia</t>
        </is>
      </c>
      <c r="F23" s="9" t="n">
        <v>46280</v>
      </c>
      <c r="G23" s="8" t="n"/>
      <c r="H23" s="8" t="inlineStr">
        <is>
          <t>EJEMPLO</t>
        </is>
      </c>
      <c r="I23" s="11">
        <f>IF(A23="","",IFERROR(INDEX(CONEAU_EV_EST,MATCH(A23,CONEAU_EV_ID,0)),""))</f>
        <v/>
      </c>
      <c r="J23" s="11">
        <f>IF(A23="","",IFERROR(INDEX(CONEAU_EV_DESC,MATCH(A23,CONEAU_EV_ID,0)),""))</f>
        <v/>
      </c>
    </row>
    <row r="24">
      <c r="A24" s="8" t="inlineStr">
        <is>
          <t>EV20</t>
        </is>
      </c>
      <c r="B24" s="8" t="n"/>
      <c r="C24" s="8" t="inlineStr">
        <is>
          <t>Disponible</t>
        </is>
      </c>
      <c r="D24" s="8" t="inlineStr">
        <is>
          <t>EJEMPLO_EV20.pdf</t>
        </is>
      </c>
      <c r="E24" s="8" t="inlineStr">
        <is>
          <t>EJEMPLO Coord. de calidad de Obstetricia</t>
        </is>
      </c>
      <c r="F24" s="9" t="n">
        <v>46280</v>
      </c>
      <c r="G24" s="8" t="n"/>
      <c r="H24" s="8" t="inlineStr">
        <is>
          <t>EJEMPLO</t>
        </is>
      </c>
      <c r="I24" s="11">
        <f>IF(A24="","",IFERROR(INDEX(CONEAU_EV_EST,MATCH(A24,CONEAU_EV_ID,0)),""))</f>
        <v/>
      </c>
      <c r="J24" s="11">
        <f>IF(A24="","",IFERROR(INDEX(CONEAU_EV_DESC,MATCH(A24,CONEAU_EV_ID,0)),""))</f>
        <v/>
      </c>
    </row>
    <row r="25">
      <c r="A25" s="8" t="inlineStr">
        <is>
          <t>EV21</t>
        </is>
      </c>
      <c r="B25" s="8" t="n"/>
      <c r="C25" s="8" t="inlineStr">
        <is>
          <t>En elaboración</t>
        </is>
      </c>
      <c r="D25" s="8" t="inlineStr">
        <is>
          <t>EJEMPLO_EV21.pdf</t>
        </is>
      </c>
      <c r="E25" s="8" t="inlineStr">
        <is>
          <t>EJEMPLO Coord. de calidad de Obstetricia</t>
        </is>
      </c>
      <c r="F25" s="9" t="n">
        <v>46280</v>
      </c>
      <c r="G25" s="8" t="n"/>
      <c r="H25" s="8" t="inlineStr">
        <is>
          <t>EJEMPLO</t>
        </is>
      </c>
      <c r="I25" s="11">
        <f>IF(A25="","",IFERROR(INDEX(CONEAU_EV_EST,MATCH(A25,CONEAU_EV_ID,0)),""))</f>
        <v/>
      </c>
      <c r="J25" s="11">
        <f>IF(A25="","",IFERROR(INDEX(CONEAU_EV_DESC,MATCH(A25,CONEAU_EV_ID,0)),""))</f>
        <v/>
      </c>
    </row>
    <row r="26">
      <c r="A26" s="8" t="inlineStr">
        <is>
          <t>EV22</t>
        </is>
      </c>
      <c r="B26" s="8" t="n"/>
      <c r="C26" s="8" t="inlineStr">
        <is>
          <t>Disponible</t>
        </is>
      </c>
      <c r="D26" s="8" t="inlineStr">
        <is>
          <t>EJEMPLO_EV22.pdf</t>
        </is>
      </c>
      <c r="E26" s="8" t="inlineStr">
        <is>
          <t>EJEMPLO Coord. de calidad de Obstetricia</t>
        </is>
      </c>
      <c r="F26" s="9" t="n">
        <v>46280</v>
      </c>
      <c r="G26" s="8" t="n"/>
      <c r="H26" s="8" t="inlineStr">
        <is>
          <t>EJEMPLO</t>
        </is>
      </c>
      <c r="I26" s="11">
        <f>IF(A26="","",IFERROR(INDEX(CONEAU_EV_EST,MATCH(A26,CONEAU_EV_ID,0)),""))</f>
        <v/>
      </c>
      <c r="J26" s="11">
        <f>IF(A26="","",IFERROR(INDEX(CONEAU_EV_DESC,MATCH(A26,CONEAU_EV_ID,0)),""))</f>
        <v/>
      </c>
    </row>
    <row r="27">
      <c r="A27" s="8" t="inlineStr">
        <is>
          <t>EV23</t>
        </is>
      </c>
      <c r="B27" s="8" t="n"/>
      <c r="C27" s="8" t="inlineStr">
        <is>
          <t>No iniciada</t>
        </is>
      </c>
      <c r="D27" s="8" t="n"/>
      <c r="E27" s="8" t="inlineStr">
        <is>
          <t>EJEMPLO Coord. de calidad de Obstetricia</t>
        </is>
      </c>
      <c r="F27" s="9" t="n"/>
      <c r="G27" s="8" t="n"/>
      <c r="H27" s="8" t="inlineStr">
        <is>
          <t>EJEMPLO</t>
        </is>
      </c>
      <c r="I27" s="11">
        <f>IF(A27="","",IFERROR(INDEX(CONEAU_EV_EST,MATCH(A27,CONEAU_EV_ID,0)),""))</f>
        <v/>
      </c>
      <c r="J27" s="11">
        <f>IF(A27="","",IFERROR(INDEX(CONEAU_EV_DESC,MATCH(A27,CONEAU_EV_ID,0)),""))</f>
        <v/>
      </c>
    </row>
    <row r="28">
      <c r="A28" s="8" t="inlineStr">
        <is>
          <t>EV24</t>
        </is>
      </c>
      <c r="B28" s="8" t="n"/>
      <c r="C28" s="8" t="inlineStr">
        <is>
          <t>Disponible</t>
        </is>
      </c>
      <c r="D28" s="8" t="inlineStr">
        <is>
          <t>EJEMPLO_EV24.pdf</t>
        </is>
      </c>
      <c r="E28" s="8" t="inlineStr">
        <is>
          <t>EJEMPLO Coord. de calidad de Obstetricia</t>
        </is>
      </c>
      <c r="F28" s="9" t="n">
        <v>46280</v>
      </c>
      <c r="G28" s="8" t="n"/>
      <c r="H28" s="8" t="inlineStr">
        <is>
          <t>EJEMPLO</t>
        </is>
      </c>
      <c r="I28" s="11">
        <f>IF(A28="","",IFERROR(INDEX(CONEAU_EV_EST,MATCH(A28,CONEAU_EV_ID,0)),""))</f>
        <v/>
      </c>
      <c r="J28" s="11">
        <f>IF(A28="","",IFERROR(INDEX(CONEAU_EV_DESC,MATCH(A28,CONEAU_EV_ID,0)),""))</f>
        <v/>
      </c>
    </row>
    <row r="29">
      <c r="A29" s="8" t="inlineStr">
        <is>
          <t>EV25</t>
        </is>
      </c>
      <c r="B29" s="8" t="n"/>
      <c r="C29" s="8" t="inlineStr">
        <is>
          <t>En elaboración</t>
        </is>
      </c>
      <c r="D29" s="8" t="inlineStr">
        <is>
          <t>EJEMPLO_EV25.pdf</t>
        </is>
      </c>
      <c r="E29" s="8" t="inlineStr">
        <is>
          <t>EJEMPLO Coord. de calidad de Obstetricia</t>
        </is>
      </c>
      <c r="F29" s="9" t="n">
        <v>46280</v>
      </c>
      <c r="G29" s="8" t="n"/>
      <c r="H29" s="8" t="inlineStr">
        <is>
          <t>EJEMPLO</t>
        </is>
      </c>
      <c r="I29" s="11">
        <f>IF(A29="","",IFERROR(INDEX(CONEAU_EV_EST,MATCH(A29,CONEAU_EV_ID,0)),""))</f>
        <v/>
      </c>
      <c r="J29" s="11">
        <f>IF(A29="","",IFERROR(INDEX(CONEAU_EV_DESC,MATCH(A29,CONEAU_EV_ID,0)),""))</f>
        <v/>
      </c>
    </row>
    <row r="30">
      <c r="A30" s="8" t="inlineStr">
        <is>
          <t>EV26</t>
        </is>
      </c>
      <c r="B30" s="8" t="n"/>
      <c r="C30" s="8" t="inlineStr">
        <is>
          <t>En elaboración</t>
        </is>
      </c>
      <c r="D30" s="8" t="inlineStr">
        <is>
          <t>EJEMPLO_EV26.pdf</t>
        </is>
      </c>
      <c r="E30" s="8" t="inlineStr">
        <is>
          <t>EJEMPLO Coord. de calidad de Obstetricia</t>
        </is>
      </c>
      <c r="F30" s="9" t="n">
        <v>46280</v>
      </c>
      <c r="G30" s="8" t="n"/>
      <c r="H30" s="8" t="inlineStr">
        <is>
          <t>EJEMPLO</t>
        </is>
      </c>
      <c r="I30" s="11">
        <f>IF(A30="","",IFERROR(INDEX(CONEAU_EV_EST,MATCH(A30,CONEAU_EV_ID,0)),""))</f>
        <v/>
      </c>
      <c r="J30" s="11">
        <f>IF(A30="","",IFERROR(INDEX(CONEAU_EV_DESC,MATCH(A30,CONEAU_EV_ID,0)),""))</f>
        <v/>
      </c>
    </row>
    <row r="31">
      <c r="A31" s="8" t="inlineStr">
        <is>
          <t>EV27</t>
        </is>
      </c>
      <c r="B31" s="8" t="n"/>
      <c r="C31" s="8" t="inlineStr">
        <is>
          <t>Disponible</t>
        </is>
      </c>
      <c r="D31" s="8" t="inlineStr">
        <is>
          <t>EJEMPLO_EV27.pdf</t>
        </is>
      </c>
      <c r="E31" s="8" t="inlineStr">
        <is>
          <t>EJEMPLO Coord. de calidad de Obstetricia</t>
        </is>
      </c>
      <c r="F31" s="9" t="n">
        <v>46280</v>
      </c>
      <c r="G31" s="8" t="n"/>
      <c r="H31" s="8" t="inlineStr">
        <is>
          <t>EJEMPLO</t>
        </is>
      </c>
      <c r="I31" s="11">
        <f>IF(A31="","",IFERROR(INDEX(CONEAU_EV_EST,MATCH(A31,CONEAU_EV_ID,0)),""))</f>
        <v/>
      </c>
      <c r="J31" s="11">
        <f>IF(A31="","",IFERROR(INDEX(CONEAU_EV_DESC,MATCH(A31,CONEAU_EV_ID,0)),""))</f>
        <v/>
      </c>
    </row>
    <row r="32">
      <c r="A32" s="8" t="inlineStr">
        <is>
          <t>EV28</t>
        </is>
      </c>
      <c r="B32" s="8" t="n"/>
      <c r="C32" s="8" t="inlineStr">
        <is>
          <t>En elaboración</t>
        </is>
      </c>
      <c r="D32" s="8" t="inlineStr">
        <is>
          <t>EJEMPLO_EV28.pdf</t>
        </is>
      </c>
      <c r="E32" s="8" t="inlineStr">
        <is>
          <t>EJEMPLO Coord. de calidad de Obstetricia</t>
        </is>
      </c>
      <c r="F32" s="9" t="n">
        <v>46280</v>
      </c>
      <c r="G32" s="8" t="n"/>
      <c r="H32" s="8" t="inlineStr">
        <is>
          <t>EJEMPLO</t>
        </is>
      </c>
      <c r="I32" s="11">
        <f>IF(A32="","",IFERROR(INDEX(CONEAU_EV_EST,MATCH(A32,CONEAU_EV_ID,0)),""))</f>
        <v/>
      </c>
      <c r="J32" s="11">
        <f>IF(A32="","",IFERROR(INDEX(CONEAU_EV_DESC,MATCH(A32,CONEAU_EV_ID,0)),""))</f>
        <v/>
      </c>
    </row>
    <row r="33">
      <c r="A33" s="8" t="inlineStr">
        <is>
          <t>EV29</t>
        </is>
      </c>
      <c r="B33" s="8" t="n"/>
      <c r="C33" s="8" t="inlineStr">
        <is>
          <t>Disponible</t>
        </is>
      </c>
      <c r="D33" s="8" t="inlineStr">
        <is>
          <t>EJEMPLO_EV29.pdf</t>
        </is>
      </c>
      <c r="E33" s="8" t="inlineStr">
        <is>
          <t>EJEMPLO Coord. de calidad de Obstetricia</t>
        </is>
      </c>
      <c r="F33" s="9" t="n">
        <v>46280</v>
      </c>
      <c r="G33" s="8" t="n"/>
      <c r="H33" s="8" t="inlineStr">
        <is>
          <t>EJEMPLO</t>
        </is>
      </c>
      <c r="I33" s="11">
        <f>IF(A33="","",IFERROR(INDEX(CONEAU_EV_EST,MATCH(A33,CONEAU_EV_ID,0)),""))</f>
        <v/>
      </c>
      <c r="J33" s="11">
        <f>IF(A33="","",IFERROR(INDEX(CONEAU_EV_DESC,MATCH(A33,CONEAU_EV_ID,0)),""))</f>
        <v/>
      </c>
    </row>
    <row r="34">
      <c r="A34" s="8" t="inlineStr">
        <is>
          <t>EV30</t>
        </is>
      </c>
      <c r="B34" s="8" t="n"/>
      <c r="C34" s="8" t="inlineStr">
        <is>
          <t>En elaboración</t>
        </is>
      </c>
      <c r="D34" s="8" t="inlineStr">
        <is>
          <t>EJEMPLO_EV30.pdf</t>
        </is>
      </c>
      <c r="E34" s="8" t="inlineStr">
        <is>
          <t>EJEMPLO Coord. de calidad de Obstetricia</t>
        </is>
      </c>
      <c r="F34" s="9" t="n">
        <v>46280</v>
      </c>
      <c r="G34" s="8" t="n"/>
      <c r="H34" s="8" t="inlineStr">
        <is>
          <t>EJEMPLO</t>
        </is>
      </c>
      <c r="I34" s="11">
        <f>IF(A34="","",IFERROR(INDEX(CONEAU_EV_EST,MATCH(A34,CONEAU_EV_ID,0)),""))</f>
        <v/>
      </c>
      <c r="J34" s="11">
        <f>IF(A34="","",IFERROR(INDEX(CONEAU_EV_DESC,MATCH(A34,CONEAU_EV_ID,0)),""))</f>
        <v/>
      </c>
    </row>
    <row r="35">
      <c r="A35" s="8" t="inlineStr">
        <is>
          <t>EV31</t>
        </is>
      </c>
      <c r="B35" s="8" t="n"/>
      <c r="C35" s="8" t="inlineStr">
        <is>
          <t>Validada</t>
        </is>
      </c>
      <c r="D35" s="8" t="inlineStr">
        <is>
          <t>EJEMPLO_EV31.pdf</t>
        </is>
      </c>
      <c r="E35" s="8" t="inlineStr">
        <is>
          <t>EJEMPLO Coord. de calidad de Obstetricia</t>
        </is>
      </c>
      <c r="F35" s="9" t="n">
        <v>46280</v>
      </c>
      <c r="G35" s="8" t="n"/>
      <c r="H35" s="8" t="inlineStr">
        <is>
          <t>EJEMPLO</t>
        </is>
      </c>
      <c r="I35" s="11">
        <f>IF(A35="","",IFERROR(INDEX(CONEAU_EV_EST,MATCH(A35,CONEAU_EV_ID,0)),""))</f>
        <v/>
      </c>
      <c r="J35" s="11">
        <f>IF(A35="","",IFERROR(INDEX(CONEAU_EV_DESC,MATCH(A35,CONEAU_EV_ID,0)),""))</f>
        <v/>
      </c>
    </row>
    <row r="36">
      <c r="A36" s="8" t="inlineStr">
        <is>
          <t>EV32</t>
        </is>
      </c>
      <c r="B36" s="8" t="n"/>
      <c r="C36" s="8" t="inlineStr">
        <is>
          <t>Disponible</t>
        </is>
      </c>
      <c r="D36" s="8" t="inlineStr">
        <is>
          <t>EJEMPLO_EV32.pdf</t>
        </is>
      </c>
      <c r="E36" s="8" t="inlineStr">
        <is>
          <t>EJEMPLO Coord. de calidad de Obstetricia</t>
        </is>
      </c>
      <c r="F36" s="9" t="n">
        <v>46280</v>
      </c>
      <c r="G36" s="8" t="n"/>
      <c r="H36" s="8" t="inlineStr">
        <is>
          <t>EJEMPLO</t>
        </is>
      </c>
      <c r="I36" s="11">
        <f>IF(A36="","",IFERROR(INDEX(CONEAU_EV_EST,MATCH(A36,CONEAU_EV_ID,0)),""))</f>
        <v/>
      </c>
      <c r="J36" s="11">
        <f>IF(A36="","",IFERROR(INDEX(CONEAU_EV_DESC,MATCH(A36,CONEAU_EV_ID,0)),""))</f>
        <v/>
      </c>
    </row>
    <row r="37">
      <c r="A37" s="8" t="inlineStr">
        <is>
          <t>EV33</t>
        </is>
      </c>
      <c r="B37" s="8" t="n"/>
      <c r="C37" s="8" t="inlineStr">
        <is>
          <t>Disponible</t>
        </is>
      </c>
      <c r="D37" s="8" t="inlineStr">
        <is>
          <t>EJEMPLO_EV33.pdf</t>
        </is>
      </c>
      <c r="E37" s="8" t="inlineStr">
        <is>
          <t>EJEMPLO Coord. de calidad de Obstetricia</t>
        </is>
      </c>
      <c r="F37" s="9" t="n">
        <v>46280</v>
      </c>
      <c r="G37" s="8" t="n"/>
      <c r="H37" s="8" t="inlineStr">
        <is>
          <t>EJEMPLO</t>
        </is>
      </c>
      <c r="I37" s="11">
        <f>IF(A37="","",IFERROR(INDEX(CONEAU_EV_EST,MATCH(A37,CONEAU_EV_ID,0)),""))</f>
        <v/>
      </c>
      <c r="J37" s="11">
        <f>IF(A37="","",IFERROR(INDEX(CONEAU_EV_DESC,MATCH(A37,CONEAU_EV_ID,0)),""))</f>
        <v/>
      </c>
    </row>
    <row r="38">
      <c r="A38" s="8" t="inlineStr">
        <is>
          <t>EV34</t>
        </is>
      </c>
      <c r="B38" s="8" t="n"/>
      <c r="C38" s="8" t="inlineStr">
        <is>
          <t>En elaboración</t>
        </is>
      </c>
      <c r="D38" s="8" t="inlineStr">
        <is>
          <t>EJEMPLO_EV34.pdf</t>
        </is>
      </c>
      <c r="E38" s="8" t="inlineStr">
        <is>
          <t>EJEMPLO Coord. de calidad de Obstetricia</t>
        </is>
      </c>
      <c r="F38" s="9" t="n">
        <v>46280</v>
      </c>
      <c r="G38" s="8" t="n"/>
      <c r="H38" s="8" t="inlineStr">
        <is>
          <t>EJEMPLO</t>
        </is>
      </c>
      <c r="I38" s="11">
        <f>IF(A38="","",IFERROR(INDEX(CONEAU_EV_EST,MATCH(A38,CONEAU_EV_ID,0)),""))</f>
        <v/>
      </c>
      <c r="J38" s="11">
        <f>IF(A38="","",IFERROR(INDEX(CONEAU_EV_DESC,MATCH(A38,CONEAU_EV_ID,0)),""))</f>
        <v/>
      </c>
    </row>
    <row r="39">
      <c r="A39" s="8" t="inlineStr">
        <is>
          <t>EV35</t>
        </is>
      </c>
      <c r="B39" s="8" t="n"/>
      <c r="C39" s="8" t="inlineStr">
        <is>
          <t>Disponible</t>
        </is>
      </c>
      <c r="D39" s="8" t="inlineStr">
        <is>
          <t>EJEMPLO_EV35.pdf</t>
        </is>
      </c>
      <c r="E39" s="8" t="inlineStr">
        <is>
          <t>EJEMPLO Coord. de calidad de Obstetricia</t>
        </is>
      </c>
      <c r="F39" s="9" t="n">
        <v>46280</v>
      </c>
      <c r="G39" s="8" t="n"/>
      <c r="H39" s="8" t="inlineStr">
        <is>
          <t>EJEMPLO</t>
        </is>
      </c>
      <c r="I39" s="11">
        <f>IF(A39="","",IFERROR(INDEX(CONEAU_EV_EST,MATCH(A39,CONEAU_EV_ID,0)),""))</f>
        <v/>
      </c>
      <c r="J39" s="11">
        <f>IF(A39="","",IFERROR(INDEX(CONEAU_EV_DESC,MATCH(A39,CONEAU_EV_ID,0)),""))</f>
        <v/>
      </c>
    </row>
    <row r="40">
      <c r="A40" s="8" t="inlineStr">
        <is>
          <t>EV36</t>
        </is>
      </c>
      <c r="B40" s="8" t="n"/>
      <c r="C40" s="8" t="inlineStr">
        <is>
          <t>No iniciada</t>
        </is>
      </c>
      <c r="D40" s="8" t="n"/>
      <c r="E40" s="8" t="inlineStr">
        <is>
          <t>EJEMPLO Coord. de calidad de Obstetricia</t>
        </is>
      </c>
      <c r="F40" s="9" t="n"/>
      <c r="G40" s="8" t="n"/>
      <c r="H40" s="8" t="inlineStr">
        <is>
          <t>EJEMPLO</t>
        </is>
      </c>
      <c r="I40" s="11">
        <f>IF(A40="","",IFERROR(INDEX(CONEAU_EV_EST,MATCH(A40,CONEAU_EV_ID,0)),""))</f>
        <v/>
      </c>
      <c r="J40" s="11">
        <f>IF(A40="","",IFERROR(INDEX(CONEAU_EV_DESC,MATCH(A40,CONEAU_EV_ID,0)),""))</f>
        <v/>
      </c>
    </row>
    <row r="41">
      <c r="A41" s="8" t="inlineStr">
        <is>
          <t>EV37</t>
        </is>
      </c>
      <c r="B41" s="8" t="n"/>
      <c r="C41" s="8" t="inlineStr">
        <is>
          <t>Disponible</t>
        </is>
      </c>
      <c r="D41" s="8" t="inlineStr">
        <is>
          <t>EJEMPLO_EV37.pdf</t>
        </is>
      </c>
      <c r="E41" s="8" t="inlineStr">
        <is>
          <t>EJEMPLO Coord. de calidad de Obstetricia</t>
        </is>
      </c>
      <c r="F41" s="9" t="n">
        <v>46280</v>
      </c>
      <c r="G41" s="8" t="n"/>
      <c r="H41" s="8" t="inlineStr">
        <is>
          <t>EJEMPLO</t>
        </is>
      </c>
      <c r="I41" s="11">
        <f>IF(A41="","",IFERROR(INDEX(CONEAU_EV_EST,MATCH(A41,CONEAU_EV_ID,0)),""))</f>
        <v/>
      </c>
      <c r="J41" s="11">
        <f>IF(A41="","",IFERROR(INDEX(CONEAU_EV_DESC,MATCH(A41,CONEAU_EV_ID,0)),""))</f>
        <v/>
      </c>
    </row>
    <row r="42">
      <c r="A42" s="8" t="inlineStr">
        <is>
          <t>EV38</t>
        </is>
      </c>
      <c r="B42" s="8" t="n"/>
      <c r="C42" s="8" t="inlineStr">
        <is>
          <t>Disponible</t>
        </is>
      </c>
      <c r="D42" s="8" t="inlineStr">
        <is>
          <t>EJEMPLO_EV38.pdf</t>
        </is>
      </c>
      <c r="E42" s="8" t="inlineStr">
        <is>
          <t>EJEMPLO Coord. de calidad de Obstetricia</t>
        </is>
      </c>
      <c r="F42" s="9" t="n">
        <v>46280</v>
      </c>
      <c r="G42" s="8" t="n"/>
      <c r="H42" s="8" t="inlineStr">
        <is>
          <t>EJEMPLO</t>
        </is>
      </c>
      <c r="I42" s="11">
        <f>IF(A42="","",IFERROR(INDEX(CONEAU_EV_EST,MATCH(A42,CONEAU_EV_ID,0)),""))</f>
        <v/>
      </c>
      <c r="J42" s="11">
        <f>IF(A42="","",IFERROR(INDEX(CONEAU_EV_DESC,MATCH(A42,CONEAU_EV_ID,0)),""))</f>
        <v/>
      </c>
    </row>
    <row r="43">
      <c r="A43" s="8" t="inlineStr">
        <is>
          <t>EV39</t>
        </is>
      </c>
      <c r="B43" s="8" t="n"/>
      <c r="C43" s="8" t="inlineStr">
        <is>
          <t>No iniciada</t>
        </is>
      </c>
      <c r="D43" s="8" t="n"/>
      <c r="E43" s="8" t="inlineStr">
        <is>
          <t>EJEMPLO Coord. de calidad de Obstetricia</t>
        </is>
      </c>
      <c r="F43" s="9" t="n"/>
      <c r="G43" s="8" t="n"/>
      <c r="H43" s="8" t="inlineStr">
        <is>
          <t>EJEMPLO</t>
        </is>
      </c>
      <c r="I43" s="11">
        <f>IF(A43="","",IFERROR(INDEX(CONEAU_EV_EST,MATCH(A43,CONEAU_EV_ID,0)),""))</f>
        <v/>
      </c>
      <c r="J43" s="11">
        <f>IF(A43="","",IFERROR(INDEX(CONEAU_EV_DESC,MATCH(A43,CONEAU_EV_ID,0)),""))</f>
        <v/>
      </c>
    </row>
    <row r="44">
      <c r="A44" s="8" t="inlineStr">
        <is>
          <t>EV40</t>
        </is>
      </c>
      <c r="B44" s="8" t="n"/>
      <c r="C44" s="8" t="inlineStr">
        <is>
          <t>Validada</t>
        </is>
      </c>
      <c r="D44" s="8" t="inlineStr">
        <is>
          <t>EJEMPLO_EV40.pdf</t>
        </is>
      </c>
      <c r="E44" s="8" t="inlineStr">
        <is>
          <t>EJEMPLO Coord. de calidad de Obstetricia</t>
        </is>
      </c>
      <c r="F44" s="9" t="n">
        <v>46280</v>
      </c>
      <c r="G44" s="8" t="n"/>
      <c r="H44" s="8" t="inlineStr">
        <is>
          <t>EJEMPLO</t>
        </is>
      </c>
      <c r="I44" s="11">
        <f>IF(A44="","",IFERROR(INDEX(CONEAU_EV_EST,MATCH(A44,CONEAU_EV_ID,0)),""))</f>
        <v/>
      </c>
      <c r="J44" s="11">
        <f>IF(A44="","",IFERROR(INDEX(CONEAU_EV_DESC,MATCH(A44,CONEAU_EV_ID,0)),""))</f>
        <v/>
      </c>
    </row>
    <row r="45">
      <c r="A45" s="8" t="inlineStr">
        <is>
          <t>EV41</t>
        </is>
      </c>
      <c r="B45" s="8" t="n"/>
      <c r="C45" s="8" t="inlineStr">
        <is>
          <t>Validada</t>
        </is>
      </c>
      <c r="D45" s="8" t="inlineStr">
        <is>
          <t>EJEMPLO_EV41.pdf</t>
        </is>
      </c>
      <c r="E45" s="8" t="inlineStr">
        <is>
          <t>EJEMPLO Coord. de calidad de Obstetricia</t>
        </is>
      </c>
      <c r="F45" s="9" t="n">
        <v>46280</v>
      </c>
      <c r="G45" s="8" t="n"/>
      <c r="H45" s="8" t="inlineStr">
        <is>
          <t>EJEMPLO</t>
        </is>
      </c>
      <c r="I45" s="11">
        <f>IF(A45="","",IFERROR(INDEX(CONEAU_EV_EST,MATCH(A45,CONEAU_EV_ID,0)),""))</f>
        <v/>
      </c>
      <c r="J45" s="11">
        <f>IF(A45="","",IFERROR(INDEX(CONEAU_EV_DESC,MATCH(A45,CONEAU_EV_ID,0)),""))</f>
        <v/>
      </c>
    </row>
    <row r="46">
      <c r="A46" s="8" t="inlineStr">
        <is>
          <t>EV42</t>
        </is>
      </c>
      <c r="B46" s="8" t="n"/>
      <c r="C46" s="8" t="inlineStr">
        <is>
          <t>Disponible</t>
        </is>
      </c>
      <c r="D46" s="8" t="inlineStr">
        <is>
          <t>EJEMPLO_EV42.pdf</t>
        </is>
      </c>
      <c r="E46" s="8" t="inlineStr">
        <is>
          <t>EJEMPLO Coord. de calidad de Obstetricia</t>
        </is>
      </c>
      <c r="F46" s="9" t="n">
        <v>46280</v>
      </c>
      <c r="G46" s="8" t="n"/>
      <c r="H46" s="8" t="inlineStr">
        <is>
          <t>EJEMPLO</t>
        </is>
      </c>
      <c r="I46" s="11">
        <f>IF(A46="","",IFERROR(INDEX(CONEAU_EV_EST,MATCH(A46,CONEAU_EV_ID,0)),""))</f>
        <v/>
      </c>
      <c r="J46" s="11">
        <f>IF(A46="","",IFERROR(INDEX(CONEAU_EV_DESC,MATCH(A46,CONEAU_EV_ID,0)),""))</f>
        <v/>
      </c>
    </row>
    <row r="47">
      <c r="A47" s="8" t="inlineStr">
        <is>
          <t>EV43</t>
        </is>
      </c>
      <c r="B47" s="8" t="n"/>
      <c r="C47" s="8" t="inlineStr">
        <is>
          <t>Disponible</t>
        </is>
      </c>
      <c r="D47" s="8" t="inlineStr">
        <is>
          <t>EJEMPLO_EV43.pdf</t>
        </is>
      </c>
      <c r="E47" s="8" t="inlineStr">
        <is>
          <t>EJEMPLO Coord. de calidad de Obstetricia</t>
        </is>
      </c>
      <c r="F47" s="9" t="n">
        <v>46280</v>
      </c>
      <c r="G47" s="8" t="n"/>
      <c r="H47" s="8" t="inlineStr">
        <is>
          <t>EJEMPLO</t>
        </is>
      </c>
      <c r="I47" s="11">
        <f>IF(A47="","",IFERROR(INDEX(CONEAU_EV_EST,MATCH(A47,CONEAU_EV_ID,0)),""))</f>
        <v/>
      </c>
      <c r="J47" s="11">
        <f>IF(A47="","",IFERROR(INDEX(CONEAU_EV_DESC,MATCH(A47,CONEAU_EV_ID,0)),""))</f>
        <v/>
      </c>
    </row>
    <row r="48">
      <c r="A48" s="8" t="inlineStr">
        <is>
          <t>EV44</t>
        </is>
      </c>
      <c r="B48" s="8" t="n"/>
      <c r="C48" s="8" t="inlineStr">
        <is>
          <t>En elaboración</t>
        </is>
      </c>
      <c r="D48" s="8" t="inlineStr">
        <is>
          <t>EJEMPLO_EV44.pdf</t>
        </is>
      </c>
      <c r="E48" s="8" t="inlineStr">
        <is>
          <t>EJEMPLO Coord. de calidad de Obstetricia</t>
        </is>
      </c>
      <c r="F48" s="9" t="n">
        <v>46280</v>
      </c>
      <c r="G48" s="8" t="n"/>
      <c r="H48" s="8" t="inlineStr">
        <is>
          <t>EJEMPLO</t>
        </is>
      </c>
      <c r="I48" s="11">
        <f>IF(A48="","",IFERROR(INDEX(CONEAU_EV_EST,MATCH(A48,CONEAU_EV_ID,0)),""))</f>
        <v/>
      </c>
      <c r="J48" s="11">
        <f>IF(A48="","",IFERROR(INDEX(CONEAU_EV_DESC,MATCH(A48,CONEAU_EV_ID,0)),""))</f>
        <v/>
      </c>
    </row>
    <row r="49">
      <c r="A49" s="8" t="inlineStr">
        <is>
          <t>EV45</t>
        </is>
      </c>
      <c r="B49" s="8" t="n"/>
      <c r="C49" s="8" t="inlineStr">
        <is>
          <t>No iniciada</t>
        </is>
      </c>
      <c r="D49" s="8" t="n"/>
      <c r="E49" s="8" t="inlineStr">
        <is>
          <t>EJEMPLO Coord. de calidad de Obstetricia</t>
        </is>
      </c>
      <c r="F49" s="9" t="n"/>
      <c r="G49" s="8" t="n"/>
      <c r="H49" s="8" t="inlineStr">
        <is>
          <t>EJEMPLO</t>
        </is>
      </c>
      <c r="I49" s="11">
        <f>IF(A49="","",IFERROR(INDEX(CONEAU_EV_EST,MATCH(A49,CONEAU_EV_ID,0)),""))</f>
        <v/>
      </c>
      <c r="J49" s="11">
        <f>IF(A49="","",IFERROR(INDEX(CONEAU_EV_DESC,MATCH(A49,CONEAU_EV_ID,0)),""))</f>
        <v/>
      </c>
    </row>
    <row r="50">
      <c r="A50" s="8" t="inlineStr">
        <is>
          <t>EV46</t>
        </is>
      </c>
      <c r="B50" s="8" t="n"/>
      <c r="C50" s="8" t="inlineStr">
        <is>
          <t>Disponible</t>
        </is>
      </c>
      <c r="D50" s="8" t="inlineStr">
        <is>
          <t>EJEMPLO_EV46.pdf</t>
        </is>
      </c>
      <c r="E50" s="8" t="inlineStr">
        <is>
          <t>EJEMPLO Coord. de calidad de Obstetricia</t>
        </is>
      </c>
      <c r="F50" s="9" t="n">
        <v>46280</v>
      </c>
      <c r="G50" s="8" t="n"/>
      <c r="H50" s="8" t="inlineStr">
        <is>
          <t>EJEMPLO</t>
        </is>
      </c>
      <c r="I50" s="11">
        <f>IF(A50="","",IFERROR(INDEX(CONEAU_EV_EST,MATCH(A50,CONEAU_EV_ID,0)),""))</f>
        <v/>
      </c>
      <c r="J50" s="11">
        <f>IF(A50="","",IFERROR(INDEX(CONEAU_EV_DESC,MATCH(A50,CONEAU_EV_ID,0)),""))</f>
        <v/>
      </c>
    </row>
    <row r="51">
      <c r="A51" s="8" t="inlineStr">
        <is>
          <t>EV47</t>
        </is>
      </c>
      <c r="B51" s="8" t="n"/>
      <c r="C51" s="8" t="inlineStr">
        <is>
          <t>Validada</t>
        </is>
      </c>
      <c r="D51" s="8" t="inlineStr">
        <is>
          <t>EJEMPLO_EV47.pdf</t>
        </is>
      </c>
      <c r="E51" s="8" t="inlineStr">
        <is>
          <t>EJEMPLO Coord. de calidad de Obstetricia</t>
        </is>
      </c>
      <c r="F51" s="9" t="n">
        <v>46280</v>
      </c>
      <c r="G51" s="8" t="n"/>
      <c r="H51" s="8" t="inlineStr">
        <is>
          <t>EJEMPLO</t>
        </is>
      </c>
      <c r="I51" s="11">
        <f>IF(A51="","",IFERROR(INDEX(CONEAU_EV_EST,MATCH(A51,CONEAU_EV_ID,0)),""))</f>
        <v/>
      </c>
      <c r="J51" s="11">
        <f>IF(A51="","",IFERROR(INDEX(CONEAU_EV_DESC,MATCH(A51,CONEAU_EV_ID,0)),""))</f>
        <v/>
      </c>
    </row>
    <row r="52">
      <c r="A52" s="8" t="inlineStr">
        <is>
          <t>EV48</t>
        </is>
      </c>
      <c r="B52" s="8" t="n"/>
      <c r="C52" s="8" t="inlineStr">
        <is>
          <t>Validada</t>
        </is>
      </c>
      <c r="D52" s="8" t="inlineStr">
        <is>
          <t>EJEMPLO_EV48.pdf</t>
        </is>
      </c>
      <c r="E52" s="8" t="inlineStr">
        <is>
          <t>EJEMPLO Coord. de calidad de Obstetricia</t>
        </is>
      </c>
      <c r="F52" s="9" t="n">
        <v>46280</v>
      </c>
      <c r="G52" s="8" t="n"/>
      <c r="H52" s="8" t="inlineStr">
        <is>
          <t>EJEMPLO</t>
        </is>
      </c>
      <c r="I52" s="11">
        <f>IF(A52="","",IFERROR(INDEX(CONEAU_EV_EST,MATCH(A52,CONEAU_EV_ID,0)),""))</f>
        <v/>
      </c>
      <c r="J52" s="11">
        <f>IF(A52="","",IFERROR(INDEX(CONEAU_EV_DESC,MATCH(A52,CONEAU_EV_ID,0)),""))</f>
        <v/>
      </c>
    </row>
    <row r="53">
      <c r="A53" s="8" t="inlineStr">
        <is>
          <t>EV49</t>
        </is>
      </c>
      <c r="B53" s="8" t="n"/>
      <c r="C53" s="8" t="inlineStr">
        <is>
          <t>En elaboración</t>
        </is>
      </c>
      <c r="D53" s="8" t="inlineStr">
        <is>
          <t>EJEMPLO_EV49.pdf</t>
        </is>
      </c>
      <c r="E53" s="8" t="inlineStr">
        <is>
          <t>EJEMPLO Coord. de calidad de Obstetricia</t>
        </is>
      </c>
      <c r="F53" s="9" t="n">
        <v>46280</v>
      </c>
      <c r="G53" s="8" t="n"/>
      <c r="H53" s="8" t="inlineStr">
        <is>
          <t>EJEMPLO</t>
        </is>
      </c>
      <c r="I53" s="11">
        <f>IF(A53="","",IFERROR(INDEX(CONEAU_EV_EST,MATCH(A53,CONEAU_EV_ID,0)),""))</f>
        <v/>
      </c>
      <c r="J53" s="11">
        <f>IF(A53="","",IFERROR(INDEX(CONEAU_EV_DESC,MATCH(A53,CONEAU_EV_ID,0)),""))</f>
        <v/>
      </c>
    </row>
    <row r="54">
      <c r="A54" s="8" t="inlineStr">
        <is>
          <t>EV50</t>
        </is>
      </c>
      <c r="B54" s="8" t="n"/>
      <c r="C54" s="8" t="inlineStr">
        <is>
          <t>En elaboración</t>
        </is>
      </c>
      <c r="D54" s="8" t="inlineStr">
        <is>
          <t>EJEMPLO_EV50.pdf</t>
        </is>
      </c>
      <c r="E54" s="8" t="inlineStr">
        <is>
          <t>EJEMPLO Coord. de calidad de Obstetricia</t>
        </is>
      </c>
      <c r="F54" s="9" t="n">
        <v>46280</v>
      </c>
      <c r="G54" s="8" t="n"/>
      <c r="H54" s="8" t="inlineStr">
        <is>
          <t>EJEMPLO</t>
        </is>
      </c>
      <c r="I54" s="11">
        <f>IF(A54="","",IFERROR(INDEX(CONEAU_EV_EST,MATCH(A54,CONEAU_EV_ID,0)),""))</f>
        <v/>
      </c>
      <c r="J54" s="11">
        <f>IF(A54="","",IFERROR(INDEX(CONEAU_EV_DESC,MATCH(A54,CONEAU_EV_ID,0)),""))</f>
        <v/>
      </c>
    </row>
    <row r="55">
      <c r="A55" s="8" t="inlineStr">
        <is>
          <t>EV51</t>
        </is>
      </c>
      <c r="B55" s="8" t="n"/>
      <c r="C55" s="8" t="inlineStr">
        <is>
          <t>En elaboración</t>
        </is>
      </c>
      <c r="D55" s="8" t="inlineStr">
        <is>
          <t>EJEMPLO_EV51.pdf</t>
        </is>
      </c>
      <c r="E55" s="8" t="inlineStr">
        <is>
          <t>EJEMPLO Coord. de calidad de Obstetricia</t>
        </is>
      </c>
      <c r="F55" s="9" t="n">
        <v>46280</v>
      </c>
      <c r="G55" s="8" t="n"/>
      <c r="H55" s="8" t="inlineStr">
        <is>
          <t>EJEMPLO</t>
        </is>
      </c>
      <c r="I55" s="11">
        <f>IF(A55="","",IFERROR(INDEX(CONEAU_EV_EST,MATCH(A55,CONEAU_EV_ID,0)),""))</f>
        <v/>
      </c>
      <c r="J55" s="11">
        <f>IF(A55="","",IFERROR(INDEX(CONEAU_EV_DESC,MATCH(A55,CONEAU_EV_ID,0)),""))</f>
        <v/>
      </c>
    </row>
    <row r="56">
      <c r="A56" s="8" t="inlineStr">
        <is>
          <t>EV52</t>
        </is>
      </c>
      <c r="B56" s="8" t="n"/>
      <c r="C56" s="8" t="inlineStr">
        <is>
          <t>Validada</t>
        </is>
      </c>
      <c r="D56" s="8" t="inlineStr">
        <is>
          <t>EJEMPLO_EV52.pdf</t>
        </is>
      </c>
      <c r="E56" s="8" t="inlineStr">
        <is>
          <t>EJEMPLO Coord. de calidad de Obstetricia</t>
        </is>
      </c>
      <c r="F56" s="9" t="n">
        <v>46280</v>
      </c>
      <c r="G56" s="8" t="n"/>
      <c r="H56" s="8" t="inlineStr">
        <is>
          <t>EJEMPLO</t>
        </is>
      </c>
      <c r="I56" s="11">
        <f>IF(A56="","",IFERROR(INDEX(CONEAU_EV_EST,MATCH(A56,CONEAU_EV_ID,0)),""))</f>
        <v/>
      </c>
      <c r="J56" s="11">
        <f>IF(A56="","",IFERROR(INDEX(CONEAU_EV_DESC,MATCH(A56,CONEAU_EV_ID,0)),""))</f>
        <v/>
      </c>
    </row>
    <row r="57">
      <c r="A57" s="8" t="n"/>
      <c r="B57" s="8" t="n"/>
      <c r="C57" s="8" t="n"/>
      <c r="D57" s="8" t="n"/>
      <c r="E57" s="8" t="n"/>
      <c r="F57" s="9" t="n"/>
      <c r="G57" s="8" t="n"/>
      <c r="H57" s="8" t="n"/>
      <c r="I57" s="11">
        <f>IF(A57="","",IFERROR(INDEX(CONEAU_EV_EST,MATCH(A57,CONEAU_EV_ID,0)),""))</f>
        <v/>
      </c>
      <c r="J57" s="11">
        <f>IF(A57="","",IFERROR(INDEX(CONEAU_EV_DESC,MATCH(A57,CONEAU_EV_ID,0)),""))</f>
        <v/>
      </c>
    </row>
    <row r="58">
      <c r="A58" s="8" t="n"/>
      <c r="B58" s="8" t="n"/>
      <c r="C58" s="8" t="n"/>
      <c r="D58" s="8" t="n"/>
      <c r="E58" s="8" t="n"/>
      <c r="F58" s="9" t="n"/>
      <c r="G58" s="8" t="n"/>
      <c r="H58" s="8" t="n"/>
      <c r="I58" s="11">
        <f>IF(A58="","",IFERROR(INDEX(CONEAU_EV_EST,MATCH(A58,CONEAU_EV_ID,0)),""))</f>
        <v/>
      </c>
      <c r="J58" s="11">
        <f>IF(A58="","",IFERROR(INDEX(CONEAU_EV_DESC,MATCH(A58,CONEAU_EV_ID,0)),""))</f>
        <v/>
      </c>
    </row>
    <row r="59">
      <c r="A59" s="8" t="n"/>
      <c r="B59" s="8" t="n"/>
      <c r="C59" s="8" t="n"/>
      <c r="D59" s="8" t="n"/>
      <c r="E59" s="8" t="n"/>
      <c r="F59" s="9" t="n"/>
      <c r="G59" s="8" t="n"/>
      <c r="H59" s="8" t="n"/>
      <c r="I59" s="11">
        <f>IF(A59="","",IFERROR(INDEX(CONEAU_EV_EST,MATCH(A59,CONEAU_EV_ID,0)),""))</f>
        <v/>
      </c>
      <c r="J59" s="11">
        <f>IF(A59="","",IFERROR(INDEX(CONEAU_EV_DESC,MATCH(A59,CONEAU_EV_ID,0)),""))</f>
        <v/>
      </c>
    </row>
    <row r="60">
      <c r="A60" s="8" t="n"/>
      <c r="B60" s="8" t="n"/>
      <c r="C60" s="8" t="n"/>
      <c r="D60" s="8" t="n"/>
      <c r="E60" s="8" t="n"/>
      <c r="F60" s="9" t="n"/>
      <c r="G60" s="8" t="n"/>
      <c r="H60" s="8" t="n"/>
      <c r="I60" s="11">
        <f>IF(A60="","",IFERROR(INDEX(CONEAU_EV_EST,MATCH(A60,CONEAU_EV_ID,0)),""))</f>
        <v/>
      </c>
      <c r="J60" s="11">
        <f>IF(A60="","",IFERROR(INDEX(CONEAU_EV_DESC,MATCH(A60,CONEAU_EV_ID,0)),""))</f>
        <v/>
      </c>
    </row>
    <row r="61">
      <c r="A61" s="8" t="n"/>
      <c r="B61" s="8" t="n"/>
      <c r="C61" s="8" t="n"/>
      <c r="D61" s="8" t="n"/>
      <c r="E61" s="8" t="n"/>
      <c r="F61" s="9" t="n"/>
      <c r="G61" s="8" t="n"/>
      <c r="H61" s="8" t="n"/>
      <c r="I61" s="11">
        <f>IF(A61="","",IFERROR(INDEX(CONEAU_EV_EST,MATCH(A61,CONEAU_EV_ID,0)),""))</f>
        <v/>
      </c>
      <c r="J61" s="11">
        <f>IF(A61="","",IFERROR(INDEX(CONEAU_EV_DESC,MATCH(A61,CONEAU_EV_ID,0)),""))</f>
        <v/>
      </c>
    </row>
    <row r="62">
      <c r="A62" s="8" t="n"/>
      <c r="B62" s="8" t="n"/>
      <c r="C62" s="8" t="n"/>
      <c r="D62" s="8" t="n"/>
      <c r="E62" s="8" t="n"/>
      <c r="F62" s="9" t="n"/>
      <c r="G62" s="8" t="n"/>
      <c r="H62" s="8" t="n"/>
      <c r="I62" s="11">
        <f>IF(A62="","",IFERROR(INDEX(CONEAU_EV_EST,MATCH(A62,CONEAU_EV_ID,0)),""))</f>
        <v/>
      </c>
      <c r="J62" s="11">
        <f>IF(A62="","",IFERROR(INDEX(CONEAU_EV_DESC,MATCH(A62,CONEAU_EV_ID,0)),""))</f>
        <v/>
      </c>
    </row>
    <row r="63">
      <c r="A63" s="8" t="n"/>
      <c r="B63" s="8" t="n"/>
      <c r="C63" s="8" t="n"/>
      <c r="D63" s="8" t="n"/>
      <c r="E63" s="8" t="n"/>
      <c r="F63" s="9" t="n"/>
      <c r="G63" s="8" t="n"/>
      <c r="H63" s="8" t="n"/>
      <c r="I63" s="11">
        <f>IF(A63="","",IFERROR(INDEX(CONEAU_EV_EST,MATCH(A63,CONEAU_EV_ID,0)),""))</f>
        <v/>
      </c>
      <c r="J63" s="11">
        <f>IF(A63="","",IFERROR(INDEX(CONEAU_EV_DESC,MATCH(A63,CONEAU_EV_ID,0)),""))</f>
        <v/>
      </c>
    </row>
    <row r="64">
      <c r="A64" s="8" t="n"/>
      <c r="B64" s="8" t="n"/>
      <c r="C64" s="8" t="n"/>
      <c r="D64" s="8" t="n"/>
      <c r="E64" s="8" t="n"/>
      <c r="F64" s="9" t="n"/>
      <c r="G64" s="8" t="n"/>
      <c r="H64" s="8" t="n"/>
      <c r="I64" s="11">
        <f>IF(A64="","",IFERROR(INDEX(CONEAU_EV_EST,MATCH(A64,CONEAU_EV_ID,0)),""))</f>
        <v/>
      </c>
      <c r="J64" s="11">
        <f>IF(A64="","",IFERROR(INDEX(CONEAU_EV_DESC,MATCH(A64,CONEAU_EV_ID,0)),""))</f>
        <v/>
      </c>
    </row>
    <row r="65">
      <c r="A65" s="8" t="n"/>
      <c r="B65" s="8" t="n"/>
      <c r="C65" s="8" t="n"/>
      <c r="D65" s="8" t="n"/>
      <c r="E65" s="8" t="n"/>
      <c r="F65" s="9" t="n"/>
      <c r="G65" s="8" t="n"/>
      <c r="H65" s="8" t="n"/>
      <c r="I65" s="11">
        <f>IF(A65="","",IFERROR(INDEX(CONEAU_EV_EST,MATCH(A65,CONEAU_EV_ID,0)),""))</f>
        <v/>
      </c>
      <c r="J65" s="11">
        <f>IF(A65="","",IFERROR(INDEX(CONEAU_EV_DESC,MATCH(A65,CONEAU_EV_ID,0)),""))</f>
        <v/>
      </c>
    </row>
    <row r="66">
      <c r="A66" s="8" t="n"/>
      <c r="B66" s="8" t="n"/>
      <c r="C66" s="8" t="n"/>
      <c r="D66" s="8" t="n"/>
      <c r="E66" s="8" t="n"/>
      <c r="F66" s="9" t="n"/>
      <c r="G66" s="8" t="n"/>
      <c r="H66" s="8" t="n"/>
      <c r="I66" s="11">
        <f>IF(A66="","",IFERROR(INDEX(CONEAU_EV_EST,MATCH(A66,CONEAU_EV_ID,0)),""))</f>
        <v/>
      </c>
      <c r="J66" s="11">
        <f>IF(A66="","",IFERROR(INDEX(CONEAU_EV_DESC,MATCH(A66,CONEAU_EV_ID,0)),""))</f>
        <v/>
      </c>
    </row>
    <row r="67">
      <c r="A67" s="8" t="n"/>
      <c r="B67" s="8" t="n"/>
      <c r="C67" s="8" t="n"/>
      <c r="D67" s="8" t="n"/>
      <c r="E67" s="8" t="n"/>
      <c r="F67" s="9" t="n"/>
      <c r="G67" s="8" t="n"/>
      <c r="H67" s="8" t="n"/>
      <c r="I67" s="11">
        <f>IF(A67="","",IFERROR(INDEX(CONEAU_EV_EST,MATCH(A67,CONEAU_EV_ID,0)),""))</f>
        <v/>
      </c>
      <c r="J67" s="11">
        <f>IF(A67="","",IFERROR(INDEX(CONEAU_EV_DESC,MATCH(A67,CONEAU_EV_ID,0)),""))</f>
        <v/>
      </c>
    </row>
    <row r="68">
      <c r="A68" s="8" t="n"/>
      <c r="B68" s="8" t="n"/>
      <c r="C68" s="8" t="n"/>
      <c r="D68" s="8" t="n"/>
      <c r="E68" s="8" t="n"/>
      <c r="F68" s="9" t="n"/>
      <c r="G68" s="8" t="n"/>
      <c r="H68" s="8" t="n"/>
      <c r="I68" s="11">
        <f>IF(A68="","",IFERROR(INDEX(CONEAU_EV_EST,MATCH(A68,CONEAU_EV_ID,0)),""))</f>
        <v/>
      </c>
      <c r="J68" s="11">
        <f>IF(A68="","",IFERROR(INDEX(CONEAU_EV_DESC,MATCH(A68,CONEAU_EV_ID,0)),""))</f>
        <v/>
      </c>
    </row>
    <row r="69">
      <c r="A69" s="8" t="n"/>
      <c r="B69" s="8" t="n"/>
      <c r="C69" s="8" t="n"/>
      <c r="D69" s="8" t="n"/>
      <c r="E69" s="8" t="n"/>
      <c r="F69" s="9" t="n"/>
      <c r="G69" s="8" t="n"/>
      <c r="H69" s="8" t="n"/>
      <c r="I69" s="11">
        <f>IF(A69="","",IFERROR(INDEX(CONEAU_EV_EST,MATCH(A69,CONEAU_EV_ID,0)),""))</f>
        <v/>
      </c>
      <c r="J69" s="11">
        <f>IF(A69="","",IFERROR(INDEX(CONEAU_EV_DESC,MATCH(A69,CONEAU_EV_ID,0)),""))</f>
        <v/>
      </c>
    </row>
    <row r="70">
      <c r="A70" s="8" t="n"/>
      <c r="B70" s="8" t="n"/>
      <c r="C70" s="8" t="n"/>
      <c r="D70" s="8" t="n"/>
      <c r="E70" s="8" t="n"/>
      <c r="F70" s="9" t="n"/>
      <c r="G70" s="8" t="n"/>
      <c r="H70" s="8" t="n"/>
      <c r="I70" s="11">
        <f>IF(A70="","",IFERROR(INDEX(CONEAU_EV_EST,MATCH(A70,CONEAU_EV_ID,0)),""))</f>
        <v/>
      </c>
      <c r="J70" s="11">
        <f>IF(A70="","",IFERROR(INDEX(CONEAU_EV_DESC,MATCH(A70,CONEAU_EV_ID,0)),""))</f>
        <v/>
      </c>
    </row>
    <row r="71">
      <c r="A71" s="8" t="n"/>
      <c r="B71" s="8" t="n"/>
      <c r="C71" s="8" t="n"/>
      <c r="D71" s="8" t="n"/>
      <c r="E71" s="8" t="n"/>
      <c r="F71" s="9" t="n"/>
      <c r="G71" s="8" t="n"/>
      <c r="H71" s="8" t="n"/>
      <c r="I71" s="11">
        <f>IF(A71="","",IFERROR(INDEX(CONEAU_EV_EST,MATCH(A71,CONEAU_EV_ID,0)),""))</f>
        <v/>
      </c>
      <c r="J71" s="11">
        <f>IF(A71="","",IFERROR(INDEX(CONEAU_EV_DESC,MATCH(A71,CONEAU_EV_ID,0)),""))</f>
        <v/>
      </c>
    </row>
    <row r="72">
      <c r="A72" s="8" t="n"/>
      <c r="B72" s="8" t="n"/>
      <c r="C72" s="8" t="n"/>
      <c r="D72" s="8" t="n"/>
      <c r="E72" s="8" t="n"/>
      <c r="F72" s="9" t="n"/>
      <c r="G72" s="8" t="n"/>
      <c r="H72" s="8" t="n"/>
      <c r="I72" s="11">
        <f>IF(A72="","",IFERROR(INDEX(CONEAU_EV_EST,MATCH(A72,CONEAU_EV_ID,0)),""))</f>
        <v/>
      </c>
      <c r="J72" s="11">
        <f>IF(A72="","",IFERROR(INDEX(CONEAU_EV_DESC,MATCH(A72,CONEAU_EV_ID,0)),""))</f>
        <v/>
      </c>
    </row>
    <row r="73">
      <c r="A73" s="8" t="n"/>
      <c r="B73" s="8" t="n"/>
      <c r="C73" s="8" t="n"/>
      <c r="D73" s="8" t="n"/>
      <c r="E73" s="8" t="n"/>
      <c r="F73" s="9" t="n"/>
      <c r="G73" s="8" t="n"/>
      <c r="H73" s="8" t="n"/>
      <c r="I73" s="11">
        <f>IF(A73="","",IFERROR(INDEX(CONEAU_EV_EST,MATCH(A73,CONEAU_EV_ID,0)),""))</f>
        <v/>
      </c>
      <c r="J73" s="11">
        <f>IF(A73="","",IFERROR(INDEX(CONEAU_EV_DESC,MATCH(A73,CONEAU_EV_ID,0)),""))</f>
        <v/>
      </c>
    </row>
    <row r="74">
      <c r="A74" s="8" t="n"/>
      <c r="B74" s="8" t="n"/>
      <c r="C74" s="8" t="n"/>
      <c r="D74" s="8" t="n"/>
      <c r="E74" s="8" t="n"/>
      <c r="F74" s="9" t="n"/>
      <c r="G74" s="8" t="n"/>
      <c r="H74" s="8" t="n"/>
      <c r="I74" s="11">
        <f>IF(A74="","",IFERROR(INDEX(CONEAU_EV_EST,MATCH(A74,CONEAU_EV_ID,0)),""))</f>
        <v/>
      </c>
      <c r="J74" s="11">
        <f>IF(A74="","",IFERROR(INDEX(CONEAU_EV_DESC,MATCH(A74,CONEAU_EV_ID,0)),""))</f>
        <v/>
      </c>
    </row>
    <row r="75">
      <c r="A75" s="8" t="n"/>
      <c r="B75" s="8" t="n"/>
      <c r="C75" s="8" t="n"/>
      <c r="D75" s="8" t="n"/>
      <c r="E75" s="8" t="n"/>
      <c r="F75" s="9" t="n"/>
      <c r="G75" s="8" t="n"/>
      <c r="H75" s="8" t="n"/>
      <c r="I75" s="11">
        <f>IF(A75="","",IFERROR(INDEX(CONEAU_EV_EST,MATCH(A75,CONEAU_EV_ID,0)),""))</f>
        <v/>
      </c>
      <c r="J75" s="11">
        <f>IF(A75="","",IFERROR(INDEX(CONEAU_EV_DESC,MATCH(A75,CONEAU_EV_ID,0)),""))</f>
        <v/>
      </c>
    </row>
    <row r="76">
      <c r="A76" s="8" t="n"/>
      <c r="B76" s="8" t="n"/>
      <c r="C76" s="8" t="n"/>
      <c r="D76" s="8" t="n"/>
      <c r="E76" s="8" t="n"/>
      <c r="F76" s="9" t="n"/>
      <c r="G76" s="8" t="n"/>
      <c r="H76" s="8" t="n"/>
      <c r="I76" s="11">
        <f>IF(A76="","",IFERROR(INDEX(CONEAU_EV_EST,MATCH(A76,CONEAU_EV_ID,0)),""))</f>
        <v/>
      </c>
      <c r="J76" s="11">
        <f>IF(A76="","",IFERROR(INDEX(CONEAU_EV_DESC,MATCH(A76,CONEAU_EV_ID,0)),""))</f>
        <v/>
      </c>
    </row>
    <row r="77">
      <c r="A77" s="8" t="n"/>
      <c r="B77" s="8" t="n"/>
      <c r="C77" s="8" t="n"/>
      <c r="D77" s="8" t="n"/>
      <c r="E77" s="8" t="n"/>
      <c r="F77" s="9" t="n"/>
      <c r="G77" s="8" t="n"/>
      <c r="H77" s="8" t="n"/>
      <c r="I77" s="11">
        <f>IF(A77="","",IFERROR(INDEX(CONEAU_EV_EST,MATCH(A77,CONEAU_EV_ID,0)),""))</f>
        <v/>
      </c>
      <c r="J77" s="11">
        <f>IF(A77="","",IFERROR(INDEX(CONEAU_EV_DESC,MATCH(A77,CONEAU_EV_ID,0)),""))</f>
        <v/>
      </c>
    </row>
    <row r="78">
      <c r="A78" s="8" t="n"/>
      <c r="B78" s="8" t="n"/>
      <c r="C78" s="8" t="n"/>
      <c r="D78" s="8" t="n"/>
      <c r="E78" s="8" t="n"/>
      <c r="F78" s="9" t="n"/>
      <c r="G78" s="8" t="n"/>
      <c r="H78" s="8" t="n"/>
      <c r="I78" s="11">
        <f>IF(A78="","",IFERROR(INDEX(CONEAU_EV_EST,MATCH(A78,CONEAU_EV_ID,0)),""))</f>
        <v/>
      </c>
      <c r="J78" s="11">
        <f>IF(A78="","",IFERROR(INDEX(CONEAU_EV_DESC,MATCH(A78,CONEAU_EV_ID,0)),""))</f>
        <v/>
      </c>
    </row>
    <row r="79">
      <c r="A79" s="8" t="n"/>
      <c r="B79" s="8" t="n"/>
      <c r="C79" s="8" t="n"/>
      <c r="D79" s="8" t="n"/>
      <c r="E79" s="8" t="n"/>
      <c r="F79" s="9" t="n"/>
      <c r="G79" s="8" t="n"/>
      <c r="H79" s="8" t="n"/>
      <c r="I79" s="11">
        <f>IF(A79="","",IFERROR(INDEX(CONEAU_EV_EST,MATCH(A79,CONEAU_EV_ID,0)),""))</f>
        <v/>
      </c>
      <c r="J79" s="11">
        <f>IF(A79="","",IFERROR(INDEX(CONEAU_EV_DESC,MATCH(A79,CONEAU_EV_ID,0)),""))</f>
        <v/>
      </c>
    </row>
    <row r="80">
      <c r="A80" s="8" t="n"/>
      <c r="B80" s="8" t="n"/>
      <c r="C80" s="8" t="n"/>
      <c r="D80" s="8" t="n"/>
      <c r="E80" s="8" t="n"/>
      <c r="F80" s="9" t="n"/>
      <c r="G80" s="8" t="n"/>
      <c r="H80" s="8" t="n"/>
      <c r="I80" s="11">
        <f>IF(A80="","",IFERROR(INDEX(CONEAU_EV_EST,MATCH(A80,CONEAU_EV_ID,0)),""))</f>
        <v/>
      </c>
      <c r="J80" s="11">
        <f>IF(A80="","",IFERROR(INDEX(CONEAU_EV_DESC,MATCH(A80,CONEAU_EV_ID,0)),""))</f>
        <v/>
      </c>
    </row>
    <row r="81">
      <c r="A81" s="8" t="n"/>
      <c r="B81" s="8" t="n"/>
      <c r="C81" s="8" t="n"/>
      <c r="D81" s="8" t="n"/>
      <c r="E81" s="8" t="n"/>
      <c r="F81" s="9" t="n"/>
      <c r="G81" s="8" t="n"/>
      <c r="H81" s="8" t="n"/>
      <c r="I81" s="11">
        <f>IF(A81="","",IFERROR(INDEX(CONEAU_EV_EST,MATCH(A81,CONEAU_EV_ID,0)),""))</f>
        <v/>
      </c>
      <c r="J81" s="11">
        <f>IF(A81="","",IFERROR(INDEX(CONEAU_EV_DESC,MATCH(A81,CONEAU_EV_ID,0)),""))</f>
        <v/>
      </c>
    </row>
    <row r="82">
      <c r="A82" s="8" t="n"/>
      <c r="B82" s="8" t="n"/>
      <c r="C82" s="8" t="n"/>
      <c r="D82" s="8" t="n"/>
      <c r="E82" s="8" t="n"/>
      <c r="F82" s="9" t="n"/>
      <c r="G82" s="8" t="n"/>
      <c r="H82" s="8" t="n"/>
      <c r="I82" s="11">
        <f>IF(A82="","",IFERROR(INDEX(CONEAU_EV_EST,MATCH(A82,CONEAU_EV_ID,0)),""))</f>
        <v/>
      </c>
      <c r="J82" s="11">
        <f>IF(A82="","",IFERROR(INDEX(CONEAU_EV_DESC,MATCH(A82,CONEAU_EV_ID,0)),""))</f>
        <v/>
      </c>
    </row>
    <row r="83">
      <c r="A83" s="8" t="n"/>
      <c r="B83" s="8" t="n"/>
      <c r="C83" s="8" t="n"/>
      <c r="D83" s="8" t="n"/>
      <c r="E83" s="8" t="n"/>
      <c r="F83" s="9" t="n"/>
      <c r="G83" s="8" t="n"/>
      <c r="H83" s="8" t="n"/>
      <c r="I83" s="11">
        <f>IF(A83="","",IFERROR(INDEX(CONEAU_EV_EST,MATCH(A83,CONEAU_EV_ID,0)),""))</f>
        <v/>
      </c>
      <c r="J83" s="11">
        <f>IF(A83="","",IFERROR(INDEX(CONEAU_EV_DESC,MATCH(A83,CONEAU_EV_ID,0)),""))</f>
        <v/>
      </c>
    </row>
    <row r="84">
      <c r="A84" s="8" t="n"/>
      <c r="B84" s="8" t="n"/>
      <c r="C84" s="8" t="n"/>
      <c r="D84" s="8" t="n"/>
      <c r="E84" s="8" t="n"/>
      <c r="F84" s="9" t="n"/>
      <c r="G84" s="8" t="n"/>
      <c r="H84" s="8" t="n"/>
      <c r="I84" s="11">
        <f>IF(A84="","",IFERROR(INDEX(CONEAU_EV_EST,MATCH(A84,CONEAU_EV_ID,0)),""))</f>
        <v/>
      </c>
      <c r="J84" s="11">
        <f>IF(A84="","",IFERROR(INDEX(CONEAU_EV_DESC,MATCH(A84,CONEAU_EV_ID,0)),""))</f>
        <v/>
      </c>
    </row>
    <row r="85">
      <c r="A85" s="8" t="n"/>
      <c r="B85" s="8" t="n"/>
      <c r="C85" s="8" t="n"/>
      <c r="D85" s="8" t="n"/>
      <c r="E85" s="8" t="n"/>
      <c r="F85" s="9" t="n"/>
      <c r="G85" s="8" t="n"/>
      <c r="H85" s="8" t="n"/>
      <c r="I85" s="11">
        <f>IF(A85="","",IFERROR(INDEX(CONEAU_EV_EST,MATCH(A85,CONEAU_EV_ID,0)),""))</f>
        <v/>
      </c>
      <c r="J85" s="11">
        <f>IF(A85="","",IFERROR(INDEX(CONEAU_EV_DESC,MATCH(A85,CONEAU_EV_ID,0)),""))</f>
        <v/>
      </c>
    </row>
    <row r="86">
      <c r="A86" s="8" t="n"/>
      <c r="B86" s="8" t="n"/>
      <c r="C86" s="8" t="n"/>
      <c r="D86" s="8" t="n"/>
      <c r="E86" s="8" t="n"/>
      <c r="F86" s="9" t="n"/>
      <c r="G86" s="8" t="n"/>
      <c r="H86" s="8" t="n"/>
      <c r="I86" s="11">
        <f>IF(A86="","",IFERROR(INDEX(CONEAU_EV_EST,MATCH(A86,CONEAU_EV_ID,0)),""))</f>
        <v/>
      </c>
      <c r="J86" s="11">
        <f>IF(A86="","",IFERROR(INDEX(CONEAU_EV_DESC,MATCH(A86,CONEAU_EV_ID,0)),""))</f>
        <v/>
      </c>
    </row>
    <row r="87">
      <c r="A87" s="8" t="n"/>
      <c r="B87" s="8" t="n"/>
      <c r="C87" s="8" t="n"/>
      <c r="D87" s="8" t="n"/>
      <c r="E87" s="8" t="n"/>
      <c r="F87" s="9" t="n"/>
      <c r="G87" s="8" t="n"/>
      <c r="H87" s="8" t="n"/>
      <c r="I87" s="11">
        <f>IF(A87="","",IFERROR(INDEX(CONEAU_EV_EST,MATCH(A87,CONEAU_EV_ID,0)),""))</f>
        <v/>
      </c>
      <c r="J87" s="11">
        <f>IF(A87="","",IFERROR(INDEX(CONEAU_EV_DESC,MATCH(A87,CONEAU_EV_ID,0)),""))</f>
        <v/>
      </c>
    </row>
    <row r="88">
      <c r="A88" s="8" t="n"/>
      <c r="B88" s="8" t="n"/>
      <c r="C88" s="8" t="n"/>
      <c r="D88" s="8" t="n"/>
      <c r="E88" s="8" t="n"/>
      <c r="F88" s="9" t="n"/>
      <c r="G88" s="8" t="n"/>
      <c r="H88" s="8" t="n"/>
      <c r="I88" s="11">
        <f>IF(A88="","",IFERROR(INDEX(CONEAU_EV_EST,MATCH(A88,CONEAU_EV_ID,0)),""))</f>
        <v/>
      </c>
      <c r="J88" s="11">
        <f>IF(A88="","",IFERROR(INDEX(CONEAU_EV_DESC,MATCH(A88,CONEAU_EV_ID,0)),""))</f>
        <v/>
      </c>
    </row>
    <row r="89">
      <c r="A89" s="8" t="n"/>
      <c r="B89" s="8" t="n"/>
      <c r="C89" s="8" t="n"/>
      <c r="D89" s="8" t="n"/>
      <c r="E89" s="8" t="n"/>
      <c r="F89" s="9" t="n"/>
      <c r="G89" s="8" t="n"/>
      <c r="H89" s="8" t="n"/>
      <c r="I89" s="11">
        <f>IF(A89="","",IFERROR(INDEX(CONEAU_EV_EST,MATCH(A89,CONEAU_EV_ID,0)),""))</f>
        <v/>
      </c>
      <c r="J89" s="11">
        <f>IF(A89="","",IFERROR(INDEX(CONEAU_EV_DESC,MATCH(A89,CONEAU_EV_ID,0)),""))</f>
        <v/>
      </c>
    </row>
    <row r="90">
      <c r="A90" s="8" t="n"/>
      <c r="B90" s="8" t="n"/>
      <c r="C90" s="8" t="n"/>
      <c r="D90" s="8" t="n"/>
      <c r="E90" s="8" t="n"/>
      <c r="F90" s="9" t="n"/>
      <c r="G90" s="8" t="n"/>
      <c r="H90" s="8" t="n"/>
      <c r="I90" s="11">
        <f>IF(A90="","",IFERROR(INDEX(CONEAU_EV_EST,MATCH(A90,CONEAU_EV_ID,0)),""))</f>
        <v/>
      </c>
      <c r="J90" s="11">
        <f>IF(A90="","",IFERROR(INDEX(CONEAU_EV_DESC,MATCH(A90,CONEAU_EV_ID,0)),""))</f>
        <v/>
      </c>
    </row>
    <row r="91">
      <c r="A91" s="8" t="n"/>
      <c r="B91" s="8" t="n"/>
      <c r="C91" s="8" t="n"/>
      <c r="D91" s="8" t="n"/>
      <c r="E91" s="8" t="n"/>
      <c r="F91" s="9" t="n"/>
      <c r="G91" s="8" t="n"/>
      <c r="H91" s="8" t="n"/>
      <c r="I91" s="11">
        <f>IF(A91="","",IFERROR(INDEX(CONEAU_EV_EST,MATCH(A91,CONEAU_EV_ID,0)),""))</f>
        <v/>
      </c>
      <c r="J91" s="11">
        <f>IF(A91="","",IFERROR(INDEX(CONEAU_EV_DESC,MATCH(A91,CONEAU_EV_ID,0)),""))</f>
        <v/>
      </c>
    </row>
    <row r="92">
      <c r="A92" s="8" t="n"/>
      <c r="B92" s="8" t="n"/>
      <c r="C92" s="8" t="n"/>
      <c r="D92" s="8" t="n"/>
      <c r="E92" s="8" t="n"/>
      <c r="F92" s="9" t="n"/>
      <c r="G92" s="8" t="n"/>
      <c r="H92" s="8" t="n"/>
      <c r="I92" s="11">
        <f>IF(A92="","",IFERROR(INDEX(CONEAU_EV_EST,MATCH(A92,CONEAU_EV_ID,0)),""))</f>
        <v/>
      </c>
      <c r="J92" s="11">
        <f>IF(A92="","",IFERROR(INDEX(CONEAU_EV_DESC,MATCH(A92,CONEAU_EV_ID,0)),""))</f>
        <v/>
      </c>
    </row>
    <row r="93">
      <c r="A93" s="8" t="n"/>
      <c r="B93" s="8" t="n"/>
      <c r="C93" s="8" t="n"/>
      <c r="D93" s="8" t="n"/>
      <c r="E93" s="8" t="n"/>
      <c r="F93" s="9" t="n"/>
      <c r="G93" s="8" t="n"/>
      <c r="H93" s="8" t="n"/>
      <c r="I93" s="11">
        <f>IF(A93="","",IFERROR(INDEX(CONEAU_EV_EST,MATCH(A93,CONEAU_EV_ID,0)),""))</f>
        <v/>
      </c>
      <c r="J93" s="11">
        <f>IF(A93="","",IFERROR(INDEX(CONEAU_EV_DESC,MATCH(A93,CONEAU_EV_ID,0)),""))</f>
        <v/>
      </c>
    </row>
    <row r="94">
      <c r="A94" s="8" t="n"/>
      <c r="B94" s="8" t="n"/>
      <c r="C94" s="8" t="n"/>
      <c r="D94" s="8" t="n"/>
      <c r="E94" s="8" t="n"/>
      <c r="F94" s="9" t="n"/>
      <c r="G94" s="8" t="n"/>
      <c r="H94" s="8" t="n"/>
      <c r="I94" s="11">
        <f>IF(A94="","",IFERROR(INDEX(CONEAU_EV_EST,MATCH(A94,CONEAU_EV_ID,0)),""))</f>
        <v/>
      </c>
      <c r="J94" s="11">
        <f>IF(A94="","",IFERROR(INDEX(CONEAU_EV_DESC,MATCH(A94,CONEAU_EV_ID,0)),""))</f>
        <v/>
      </c>
    </row>
    <row r="95">
      <c r="A95" s="8" t="n"/>
      <c r="B95" s="8" t="n"/>
      <c r="C95" s="8" t="n"/>
      <c r="D95" s="8" t="n"/>
      <c r="E95" s="8" t="n"/>
      <c r="F95" s="9" t="n"/>
      <c r="G95" s="8" t="n"/>
      <c r="H95" s="8" t="n"/>
      <c r="I95" s="11">
        <f>IF(A95="","",IFERROR(INDEX(CONEAU_EV_EST,MATCH(A95,CONEAU_EV_ID,0)),""))</f>
        <v/>
      </c>
      <c r="J95" s="11">
        <f>IF(A95="","",IFERROR(INDEX(CONEAU_EV_DESC,MATCH(A95,CONEAU_EV_ID,0)),""))</f>
        <v/>
      </c>
    </row>
    <row r="96">
      <c r="A96" s="8" t="n"/>
      <c r="B96" s="8" t="n"/>
      <c r="C96" s="8" t="n"/>
      <c r="D96" s="8" t="n"/>
      <c r="E96" s="8" t="n"/>
      <c r="F96" s="9" t="n"/>
      <c r="G96" s="8" t="n"/>
      <c r="H96" s="8" t="n"/>
      <c r="I96" s="11">
        <f>IF(A96="","",IFERROR(INDEX(CONEAU_EV_EST,MATCH(A96,CONEAU_EV_ID,0)),""))</f>
        <v/>
      </c>
      <c r="J96" s="11">
        <f>IF(A96="","",IFERROR(INDEX(CONEAU_EV_DESC,MATCH(A96,CONEAU_EV_ID,0)),""))</f>
        <v/>
      </c>
    </row>
    <row r="97">
      <c r="A97" s="8" t="n"/>
      <c r="B97" s="8" t="n"/>
      <c r="C97" s="8" t="n"/>
      <c r="D97" s="8" t="n"/>
      <c r="E97" s="8" t="n"/>
      <c r="F97" s="9" t="n"/>
      <c r="G97" s="8" t="n"/>
      <c r="H97" s="8" t="n"/>
      <c r="I97" s="11">
        <f>IF(A97="","",IFERROR(INDEX(CONEAU_EV_EST,MATCH(A97,CONEAU_EV_ID,0)),""))</f>
        <v/>
      </c>
      <c r="J97" s="11">
        <f>IF(A97="","",IFERROR(INDEX(CONEAU_EV_DESC,MATCH(A97,CONEAU_EV_ID,0)),""))</f>
        <v/>
      </c>
    </row>
    <row r="98">
      <c r="A98" s="8" t="n"/>
      <c r="B98" s="8" t="n"/>
      <c r="C98" s="8" t="n"/>
      <c r="D98" s="8" t="n"/>
      <c r="E98" s="8" t="n"/>
      <c r="F98" s="9" t="n"/>
      <c r="G98" s="8" t="n"/>
      <c r="H98" s="8" t="n"/>
      <c r="I98" s="11">
        <f>IF(A98="","",IFERROR(INDEX(CONEAU_EV_EST,MATCH(A98,CONEAU_EV_ID,0)),""))</f>
        <v/>
      </c>
      <c r="J98" s="11">
        <f>IF(A98="","",IFERROR(INDEX(CONEAU_EV_DESC,MATCH(A98,CONEAU_EV_ID,0)),""))</f>
        <v/>
      </c>
    </row>
    <row r="99">
      <c r="A99" s="8" t="n"/>
      <c r="B99" s="8" t="n"/>
      <c r="C99" s="8" t="n"/>
      <c r="D99" s="8" t="n"/>
      <c r="E99" s="8" t="n"/>
      <c r="F99" s="9" t="n"/>
      <c r="G99" s="8" t="n"/>
      <c r="H99" s="8" t="n"/>
      <c r="I99" s="11">
        <f>IF(A99="","",IFERROR(INDEX(CONEAU_EV_EST,MATCH(A99,CONEAU_EV_ID,0)),""))</f>
        <v/>
      </c>
      <c r="J99" s="11">
        <f>IF(A99="","",IFERROR(INDEX(CONEAU_EV_DESC,MATCH(A99,CONEAU_EV_ID,0)),""))</f>
        <v/>
      </c>
    </row>
    <row r="100">
      <c r="A100" s="8" t="n"/>
      <c r="B100" s="8" t="n"/>
      <c r="C100" s="8" t="n"/>
      <c r="D100" s="8" t="n"/>
      <c r="E100" s="8" t="n"/>
      <c r="F100" s="9" t="n"/>
      <c r="G100" s="8" t="n"/>
      <c r="H100" s="8" t="n"/>
      <c r="I100" s="11">
        <f>IF(A100="","",IFERROR(INDEX(CONEAU_EV_EST,MATCH(A100,CONEAU_EV_ID,0)),""))</f>
        <v/>
      </c>
      <c r="J100" s="11">
        <f>IF(A100="","",IFERROR(INDEX(CONEAU_EV_DESC,MATCH(A100,CONEAU_EV_ID,0)),""))</f>
        <v/>
      </c>
    </row>
    <row r="101">
      <c r="A101" s="8" t="n"/>
      <c r="B101" s="8" t="n"/>
      <c r="C101" s="8" t="n"/>
      <c r="D101" s="8" t="n"/>
      <c r="E101" s="8" t="n"/>
      <c r="F101" s="9" t="n"/>
      <c r="G101" s="8" t="n"/>
      <c r="H101" s="8" t="n"/>
      <c r="I101" s="11">
        <f>IF(A101="","",IFERROR(INDEX(CONEAU_EV_EST,MATCH(A101,CONEAU_EV_ID,0)),""))</f>
        <v/>
      </c>
      <c r="J101" s="11">
        <f>IF(A101="","",IFERROR(INDEX(CONEAU_EV_DESC,MATCH(A101,CONEAU_EV_ID,0)),""))</f>
        <v/>
      </c>
    </row>
    <row r="102">
      <c r="A102" s="8" t="n"/>
      <c r="B102" s="8" t="n"/>
      <c r="C102" s="8" t="n"/>
      <c r="D102" s="8" t="n"/>
      <c r="E102" s="8" t="n"/>
      <c r="F102" s="9" t="n"/>
      <c r="G102" s="8" t="n"/>
      <c r="H102" s="8" t="n"/>
      <c r="I102" s="11">
        <f>IF(A102="","",IFERROR(INDEX(CONEAU_EV_EST,MATCH(A102,CONEAU_EV_ID,0)),""))</f>
        <v/>
      </c>
      <c r="J102" s="11">
        <f>IF(A102="","",IFERROR(INDEX(CONEAU_EV_DESC,MATCH(A102,CONEAU_EV_ID,0)),""))</f>
        <v/>
      </c>
    </row>
    <row r="103">
      <c r="A103" s="8" t="n"/>
      <c r="B103" s="8" t="n"/>
      <c r="C103" s="8" t="n"/>
      <c r="D103" s="8" t="n"/>
      <c r="E103" s="8" t="n"/>
      <c r="F103" s="9" t="n"/>
      <c r="G103" s="8" t="n"/>
      <c r="H103" s="8" t="n"/>
      <c r="I103" s="11">
        <f>IF(A103="","",IFERROR(INDEX(CONEAU_EV_EST,MATCH(A103,CONEAU_EV_ID,0)),""))</f>
        <v/>
      </c>
      <c r="J103" s="11">
        <f>IF(A103="","",IFERROR(INDEX(CONEAU_EV_DESC,MATCH(A103,CONEAU_EV_ID,0)),""))</f>
        <v/>
      </c>
    </row>
    <row r="104">
      <c r="A104" s="8" t="n"/>
      <c r="B104" s="8" t="n"/>
      <c r="C104" s="8" t="n"/>
      <c r="D104" s="8" t="n"/>
      <c r="E104" s="8" t="n"/>
      <c r="F104" s="9" t="n"/>
      <c r="G104" s="8" t="n"/>
      <c r="H104" s="8" t="n"/>
      <c r="I104" s="11">
        <f>IF(A104="","",IFERROR(INDEX(CONEAU_EV_EST,MATCH(A104,CONEAU_EV_ID,0)),""))</f>
        <v/>
      </c>
      <c r="J104" s="11">
        <f>IF(A104="","",IFERROR(INDEX(CONEAU_EV_DESC,MATCH(A104,CONEAU_EV_ID,0)),""))</f>
        <v/>
      </c>
    </row>
    <row r="105">
      <c r="A105" s="8" t="n"/>
      <c r="B105" s="8" t="n"/>
      <c r="C105" s="8" t="n"/>
      <c r="D105" s="8" t="n"/>
      <c r="E105" s="8" t="n"/>
      <c r="F105" s="9" t="n"/>
      <c r="G105" s="8" t="n"/>
      <c r="H105" s="8" t="n"/>
      <c r="I105" s="11">
        <f>IF(A105="","",IFERROR(INDEX(CONEAU_EV_EST,MATCH(A105,CONEAU_EV_ID,0)),""))</f>
        <v/>
      </c>
      <c r="J105" s="11">
        <f>IF(A105="","",IFERROR(INDEX(CONEAU_EV_DESC,MATCH(A105,CONEAU_EV_ID,0)),""))</f>
        <v/>
      </c>
    </row>
    <row r="106">
      <c r="A106" s="8" t="n"/>
      <c r="B106" s="8" t="n"/>
      <c r="C106" s="8" t="n"/>
      <c r="D106" s="8" t="n"/>
      <c r="E106" s="8" t="n"/>
      <c r="F106" s="9" t="n"/>
      <c r="G106" s="8" t="n"/>
      <c r="H106" s="8" t="n"/>
      <c r="I106" s="11">
        <f>IF(A106="","",IFERROR(INDEX(CONEAU_EV_EST,MATCH(A106,CONEAU_EV_ID,0)),""))</f>
        <v/>
      </c>
      <c r="J106" s="11">
        <f>IF(A106="","",IFERROR(INDEX(CONEAU_EV_DESC,MATCH(A106,CONEAU_EV_ID,0)),""))</f>
        <v/>
      </c>
    </row>
    <row r="107">
      <c r="A107" s="8" t="n"/>
      <c r="B107" s="8" t="n"/>
      <c r="C107" s="8" t="n"/>
      <c r="D107" s="8" t="n"/>
      <c r="E107" s="8" t="n"/>
      <c r="F107" s="9" t="n"/>
      <c r="G107" s="8" t="n"/>
      <c r="H107" s="8" t="n"/>
      <c r="I107" s="11">
        <f>IF(A107="","",IFERROR(INDEX(CONEAU_EV_EST,MATCH(A107,CONEAU_EV_ID,0)),""))</f>
        <v/>
      </c>
      <c r="J107" s="11">
        <f>IF(A107="","",IFERROR(INDEX(CONEAU_EV_DESC,MATCH(A107,CONEAU_EV_ID,0)),""))</f>
        <v/>
      </c>
    </row>
    <row r="108">
      <c r="A108" s="8" t="n"/>
      <c r="B108" s="8" t="n"/>
      <c r="C108" s="8" t="n"/>
      <c r="D108" s="8" t="n"/>
      <c r="E108" s="8" t="n"/>
      <c r="F108" s="9" t="n"/>
      <c r="G108" s="8" t="n"/>
      <c r="H108" s="8" t="n"/>
      <c r="I108" s="11">
        <f>IF(A108="","",IFERROR(INDEX(CONEAU_EV_EST,MATCH(A108,CONEAU_EV_ID,0)),""))</f>
        <v/>
      </c>
      <c r="J108" s="11">
        <f>IF(A108="","",IFERROR(INDEX(CONEAU_EV_DESC,MATCH(A108,CONEAU_EV_ID,0)),""))</f>
        <v/>
      </c>
    </row>
    <row r="109">
      <c r="A109" s="8" t="n"/>
      <c r="B109" s="8" t="n"/>
      <c r="C109" s="8" t="n"/>
      <c r="D109" s="8" t="n"/>
      <c r="E109" s="8" t="n"/>
      <c r="F109" s="9" t="n"/>
      <c r="G109" s="8" t="n"/>
      <c r="H109" s="8" t="n"/>
      <c r="I109" s="11">
        <f>IF(A109="","",IFERROR(INDEX(CONEAU_EV_EST,MATCH(A109,CONEAU_EV_ID,0)),""))</f>
        <v/>
      </c>
      <c r="J109" s="11">
        <f>IF(A109="","",IFERROR(INDEX(CONEAU_EV_DESC,MATCH(A109,CONEAU_EV_ID,0)),""))</f>
        <v/>
      </c>
    </row>
    <row r="110">
      <c r="A110" s="8" t="n"/>
      <c r="B110" s="8" t="n"/>
      <c r="C110" s="8" t="n"/>
      <c r="D110" s="8" t="n"/>
      <c r="E110" s="8" t="n"/>
      <c r="F110" s="9" t="n"/>
      <c r="G110" s="8" t="n"/>
      <c r="H110" s="8" t="n"/>
      <c r="I110" s="11">
        <f>IF(A110="","",IFERROR(INDEX(CONEAU_EV_EST,MATCH(A110,CONEAU_EV_ID,0)),""))</f>
        <v/>
      </c>
      <c r="J110" s="11">
        <f>IF(A110="","",IFERROR(INDEX(CONEAU_EV_DESC,MATCH(A110,CONEAU_EV_ID,0)),""))</f>
        <v/>
      </c>
    </row>
    <row r="111">
      <c r="A111" s="8" t="n"/>
      <c r="B111" s="8" t="n"/>
      <c r="C111" s="8" t="n"/>
      <c r="D111" s="8" t="n"/>
      <c r="E111" s="8" t="n"/>
      <c r="F111" s="9" t="n"/>
      <c r="G111" s="8" t="n"/>
      <c r="H111" s="8" t="n"/>
      <c r="I111" s="11">
        <f>IF(A111="","",IFERROR(INDEX(CONEAU_EV_EST,MATCH(A111,CONEAU_EV_ID,0)),""))</f>
        <v/>
      </c>
      <c r="J111" s="11">
        <f>IF(A111="","",IFERROR(INDEX(CONEAU_EV_DESC,MATCH(A111,CONEAU_EV_ID,0)),""))</f>
        <v/>
      </c>
    </row>
    <row r="112">
      <c r="A112" s="8" t="n"/>
      <c r="B112" s="8" t="n"/>
      <c r="C112" s="8" t="n"/>
      <c r="D112" s="8" t="n"/>
      <c r="E112" s="8" t="n"/>
      <c r="F112" s="9" t="n"/>
      <c r="G112" s="8" t="n"/>
      <c r="H112" s="8" t="n"/>
      <c r="I112" s="11">
        <f>IF(A112="","",IFERROR(INDEX(CONEAU_EV_EST,MATCH(A112,CONEAU_EV_ID,0)),""))</f>
        <v/>
      </c>
      <c r="J112" s="11">
        <f>IF(A112="","",IFERROR(INDEX(CONEAU_EV_DESC,MATCH(A112,CONEAU_EV_ID,0)),""))</f>
        <v/>
      </c>
    </row>
    <row r="113">
      <c r="A113" s="8" t="n"/>
      <c r="B113" s="8" t="n"/>
      <c r="C113" s="8" t="n"/>
      <c r="D113" s="8" t="n"/>
      <c r="E113" s="8" t="n"/>
      <c r="F113" s="9" t="n"/>
      <c r="G113" s="8" t="n"/>
      <c r="H113" s="8" t="n"/>
      <c r="I113" s="11">
        <f>IF(A113="","",IFERROR(INDEX(CONEAU_EV_EST,MATCH(A113,CONEAU_EV_ID,0)),""))</f>
        <v/>
      </c>
      <c r="J113" s="11">
        <f>IF(A113="","",IFERROR(INDEX(CONEAU_EV_DESC,MATCH(A113,CONEAU_EV_ID,0)),""))</f>
        <v/>
      </c>
    </row>
    <row r="114">
      <c r="A114" s="8" t="n"/>
      <c r="B114" s="8" t="n"/>
      <c r="C114" s="8" t="n"/>
      <c r="D114" s="8" t="n"/>
      <c r="E114" s="8" t="n"/>
      <c r="F114" s="9" t="n"/>
      <c r="G114" s="8" t="n"/>
      <c r="H114" s="8" t="n"/>
      <c r="I114" s="11">
        <f>IF(A114="","",IFERROR(INDEX(CONEAU_EV_EST,MATCH(A114,CONEAU_EV_ID,0)),""))</f>
        <v/>
      </c>
      <c r="J114" s="11">
        <f>IF(A114="","",IFERROR(INDEX(CONEAU_EV_DESC,MATCH(A114,CONEAU_EV_ID,0)),""))</f>
        <v/>
      </c>
    </row>
    <row r="115">
      <c r="A115" s="8" t="n"/>
      <c r="B115" s="8" t="n"/>
      <c r="C115" s="8" t="n"/>
      <c r="D115" s="8" t="n"/>
      <c r="E115" s="8" t="n"/>
      <c r="F115" s="9" t="n"/>
      <c r="G115" s="8" t="n"/>
      <c r="H115" s="8" t="n"/>
      <c r="I115" s="11">
        <f>IF(A115="","",IFERROR(INDEX(CONEAU_EV_EST,MATCH(A115,CONEAU_EV_ID,0)),""))</f>
        <v/>
      </c>
      <c r="J115" s="11">
        <f>IF(A115="","",IFERROR(INDEX(CONEAU_EV_DESC,MATCH(A115,CONEAU_EV_ID,0)),""))</f>
        <v/>
      </c>
    </row>
    <row r="116">
      <c r="A116" s="8" t="n"/>
      <c r="B116" s="8" t="n"/>
      <c r="C116" s="8" t="n"/>
      <c r="D116" s="8" t="n"/>
      <c r="E116" s="8" t="n"/>
      <c r="F116" s="9" t="n"/>
      <c r="G116" s="8" t="n"/>
      <c r="H116" s="8" t="n"/>
      <c r="I116" s="11">
        <f>IF(A116="","",IFERROR(INDEX(CONEAU_EV_EST,MATCH(A116,CONEAU_EV_ID,0)),""))</f>
        <v/>
      </c>
      <c r="J116" s="11">
        <f>IF(A116="","",IFERROR(INDEX(CONEAU_EV_DESC,MATCH(A116,CONEAU_EV_ID,0)),""))</f>
        <v/>
      </c>
    </row>
    <row r="117">
      <c r="A117" s="8" t="n"/>
      <c r="B117" s="8" t="n"/>
      <c r="C117" s="8" t="n"/>
      <c r="D117" s="8" t="n"/>
      <c r="E117" s="8" t="n"/>
      <c r="F117" s="9" t="n"/>
      <c r="G117" s="8" t="n"/>
      <c r="H117" s="8" t="n"/>
      <c r="I117" s="11">
        <f>IF(A117="","",IFERROR(INDEX(CONEAU_EV_EST,MATCH(A117,CONEAU_EV_ID,0)),""))</f>
        <v/>
      </c>
      <c r="J117" s="11">
        <f>IF(A117="","",IFERROR(INDEX(CONEAU_EV_DESC,MATCH(A117,CONEAU_EV_ID,0)),""))</f>
        <v/>
      </c>
    </row>
    <row r="118">
      <c r="A118" s="8" t="n"/>
      <c r="B118" s="8" t="n"/>
      <c r="C118" s="8" t="n"/>
      <c r="D118" s="8" t="n"/>
      <c r="E118" s="8" t="n"/>
      <c r="F118" s="9" t="n"/>
      <c r="G118" s="8" t="n"/>
      <c r="H118" s="8" t="n"/>
      <c r="I118" s="11">
        <f>IF(A118="","",IFERROR(INDEX(CONEAU_EV_EST,MATCH(A118,CONEAU_EV_ID,0)),""))</f>
        <v/>
      </c>
      <c r="J118" s="11">
        <f>IF(A118="","",IFERROR(INDEX(CONEAU_EV_DESC,MATCH(A118,CONEAU_EV_ID,0)),""))</f>
        <v/>
      </c>
    </row>
    <row r="119">
      <c r="A119" s="8" t="n"/>
      <c r="B119" s="8" t="n"/>
      <c r="C119" s="8" t="n"/>
      <c r="D119" s="8" t="n"/>
      <c r="E119" s="8" t="n"/>
      <c r="F119" s="9" t="n"/>
      <c r="G119" s="8" t="n"/>
      <c r="H119" s="8" t="n"/>
      <c r="I119" s="11">
        <f>IF(A119="","",IFERROR(INDEX(CONEAU_EV_EST,MATCH(A119,CONEAU_EV_ID,0)),""))</f>
        <v/>
      </c>
      <c r="J119" s="11">
        <f>IF(A119="","",IFERROR(INDEX(CONEAU_EV_DESC,MATCH(A119,CONEAU_EV_ID,0)),""))</f>
        <v/>
      </c>
    </row>
    <row r="120">
      <c r="A120" s="8" t="n"/>
      <c r="B120" s="8" t="n"/>
      <c r="C120" s="8" t="n"/>
      <c r="D120" s="8" t="n"/>
      <c r="E120" s="8" t="n"/>
      <c r="F120" s="9" t="n"/>
      <c r="G120" s="8" t="n"/>
      <c r="H120" s="8" t="n"/>
      <c r="I120" s="11">
        <f>IF(A120="","",IFERROR(INDEX(CONEAU_EV_EST,MATCH(A120,CONEAU_EV_ID,0)),""))</f>
        <v/>
      </c>
      <c r="J120" s="11">
        <f>IF(A120="","",IFERROR(INDEX(CONEAU_EV_DESC,MATCH(A120,CONEAU_EV_ID,0)),""))</f>
        <v/>
      </c>
    </row>
    <row r="121">
      <c r="A121" s="8" t="n"/>
      <c r="B121" s="8" t="n"/>
      <c r="C121" s="8" t="n"/>
      <c r="D121" s="8" t="n"/>
      <c r="E121" s="8" t="n"/>
      <c r="F121" s="9" t="n"/>
      <c r="G121" s="8" t="n"/>
      <c r="H121" s="8" t="n"/>
      <c r="I121" s="11">
        <f>IF(A121="","",IFERROR(INDEX(CONEAU_EV_EST,MATCH(A121,CONEAU_EV_ID,0)),""))</f>
        <v/>
      </c>
      <c r="J121" s="11">
        <f>IF(A121="","",IFERROR(INDEX(CONEAU_EV_DESC,MATCH(A121,CONEAU_EV_ID,0)),""))</f>
        <v/>
      </c>
    </row>
    <row r="122">
      <c r="A122" s="8" t="n"/>
      <c r="B122" s="8" t="n"/>
      <c r="C122" s="8" t="n"/>
      <c r="D122" s="8" t="n"/>
      <c r="E122" s="8" t="n"/>
      <c r="F122" s="9" t="n"/>
      <c r="G122" s="8" t="n"/>
      <c r="H122" s="8" t="n"/>
      <c r="I122" s="11">
        <f>IF(A122="","",IFERROR(INDEX(CONEAU_EV_EST,MATCH(A122,CONEAU_EV_ID,0)),""))</f>
        <v/>
      </c>
      <c r="J122" s="11">
        <f>IF(A122="","",IFERROR(INDEX(CONEAU_EV_DESC,MATCH(A122,CONEAU_EV_ID,0)),""))</f>
        <v/>
      </c>
    </row>
    <row r="123">
      <c r="A123" s="8" t="n"/>
      <c r="B123" s="8" t="n"/>
      <c r="C123" s="8" t="n"/>
      <c r="D123" s="8" t="n"/>
      <c r="E123" s="8" t="n"/>
      <c r="F123" s="9" t="n"/>
      <c r="G123" s="8" t="n"/>
      <c r="H123" s="8" t="n"/>
      <c r="I123" s="11">
        <f>IF(A123="","",IFERROR(INDEX(CONEAU_EV_EST,MATCH(A123,CONEAU_EV_ID,0)),""))</f>
        <v/>
      </c>
      <c r="J123" s="11">
        <f>IF(A123="","",IFERROR(INDEX(CONEAU_EV_DESC,MATCH(A123,CONEAU_EV_ID,0)),""))</f>
        <v/>
      </c>
    </row>
    <row r="124">
      <c r="A124" s="8" t="n"/>
      <c r="B124" s="8" t="n"/>
      <c r="C124" s="8" t="n"/>
      <c r="D124" s="8" t="n"/>
      <c r="E124" s="8" t="n"/>
      <c r="F124" s="9" t="n"/>
      <c r="G124" s="8" t="n"/>
      <c r="H124" s="8" t="n"/>
      <c r="I124" s="11">
        <f>IF(A124="","",IFERROR(INDEX(CONEAU_EV_EST,MATCH(A124,CONEAU_EV_ID,0)),""))</f>
        <v/>
      </c>
      <c r="J124" s="11">
        <f>IF(A124="","",IFERROR(INDEX(CONEAU_EV_DESC,MATCH(A124,CONEAU_EV_ID,0)),""))</f>
        <v/>
      </c>
    </row>
    <row r="125">
      <c r="A125" s="8" t="n"/>
      <c r="B125" s="8" t="n"/>
      <c r="C125" s="8" t="n"/>
      <c r="D125" s="8" t="n"/>
      <c r="E125" s="8" t="n"/>
      <c r="F125" s="9" t="n"/>
      <c r="G125" s="8" t="n"/>
      <c r="H125" s="8" t="n"/>
      <c r="I125" s="11">
        <f>IF(A125="","",IFERROR(INDEX(CONEAU_EV_EST,MATCH(A125,CONEAU_EV_ID,0)),""))</f>
        <v/>
      </c>
      <c r="J125" s="11">
        <f>IF(A125="","",IFERROR(INDEX(CONEAU_EV_DESC,MATCH(A125,CONEAU_EV_ID,0)),""))</f>
        <v/>
      </c>
    </row>
    <row r="126">
      <c r="A126" s="8" t="n"/>
      <c r="B126" s="8" t="n"/>
      <c r="C126" s="8" t="n"/>
      <c r="D126" s="8" t="n"/>
      <c r="E126" s="8" t="n"/>
      <c r="F126" s="9" t="n"/>
      <c r="G126" s="8" t="n"/>
      <c r="H126" s="8" t="n"/>
      <c r="I126" s="11">
        <f>IF(A126="","",IFERROR(INDEX(CONEAU_EV_EST,MATCH(A126,CONEAU_EV_ID,0)),""))</f>
        <v/>
      </c>
      <c r="J126" s="11">
        <f>IF(A126="","",IFERROR(INDEX(CONEAU_EV_DESC,MATCH(A126,CONEAU_EV_ID,0)),""))</f>
        <v/>
      </c>
    </row>
    <row r="127">
      <c r="A127" s="8" t="n"/>
      <c r="B127" s="8" t="n"/>
      <c r="C127" s="8" t="n"/>
      <c r="D127" s="8" t="n"/>
      <c r="E127" s="8" t="n"/>
      <c r="F127" s="9" t="n"/>
      <c r="G127" s="8" t="n"/>
      <c r="H127" s="8" t="n"/>
      <c r="I127" s="11">
        <f>IF(A127="","",IFERROR(INDEX(CONEAU_EV_EST,MATCH(A127,CONEAU_EV_ID,0)),""))</f>
        <v/>
      </c>
      <c r="J127" s="11">
        <f>IF(A127="","",IFERROR(INDEX(CONEAU_EV_DESC,MATCH(A127,CONEAU_EV_ID,0)),""))</f>
        <v/>
      </c>
    </row>
    <row r="128">
      <c r="A128" s="8" t="n"/>
      <c r="B128" s="8" t="n"/>
      <c r="C128" s="8" t="n"/>
      <c r="D128" s="8" t="n"/>
      <c r="E128" s="8" t="n"/>
      <c r="F128" s="9" t="n"/>
      <c r="G128" s="8" t="n"/>
      <c r="H128" s="8" t="n"/>
      <c r="I128" s="11">
        <f>IF(A128="","",IFERROR(INDEX(CONEAU_EV_EST,MATCH(A128,CONEAU_EV_ID,0)),""))</f>
        <v/>
      </c>
      <c r="J128" s="11">
        <f>IF(A128="","",IFERROR(INDEX(CONEAU_EV_DESC,MATCH(A128,CONEAU_EV_ID,0)),""))</f>
        <v/>
      </c>
    </row>
    <row r="129">
      <c r="A129" s="8" t="n"/>
      <c r="B129" s="8" t="n"/>
      <c r="C129" s="8" t="n"/>
      <c r="D129" s="8" t="n"/>
      <c r="E129" s="8" t="n"/>
      <c r="F129" s="9" t="n"/>
      <c r="G129" s="8" t="n"/>
      <c r="H129" s="8" t="n"/>
      <c r="I129" s="11">
        <f>IF(A129="","",IFERROR(INDEX(CONEAU_EV_EST,MATCH(A129,CONEAU_EV_ID,0)),""))</f>
        <v/>
      </c>
      <c r="J129" s="11">
        <f>IF(A129="","",IFERROR(INDEX(CONEAU_EV_DESC,MATCH(A129,CONEAU_EV_ID,0)),""))</f>
        <v/>
      </c>
    </row>
    <row r="130">
      <c r="A130" s="8" t="n"/>
      <c r="B130" s="8" t="n"/>
      <c r="C130" s="8" t="n"/>
      <c r="D130" s="8" t="n"/>
      <c r="E130" s="8" t="n"/>
      <c r="F130" s="9" t="n"/>
      <c r="G130" s="8" t="n"/>
      <c r="H130" s="8" t="n"/>
      <c r="I130" s="11">
        <f>IF(A130="","",IFERROR(INDEX(CONEAU_EV_EST,MATCH(A130,CONEAU_EV_ID,0)),""))</f>
        <v/>
      </c>
      <c r="J130" s="11">
        <f>IF(A130="","",IFERROR(INDEX(CONEAU_EV_DESC,MATCH(A130,CONEAU_EV_ID,0)),""))</f>
        <v/>
      </c>
    </row>
    <row r="131">
      <c r="A131" s="8" t="n"/>
      <c r="B131" s="8" t="n"/>
      <c r="C131" s="8" t="n"/>
      <c r="D131" s="8" t="n"/>
      <c r="E131" s="8" t="n"/>
      <c r="F131" s="9" t="n"/>
      <c r="G131" s="8" t="n"/>
      <c r="H131" s="8" t="n"/>
      <c r="I131" s="11">
        <f>IF(A131="","",IFERROR(INDEX(CONEAU_EV_EST,MATCH(A131,CONEAU_EV_ID,0)),""))</f>
        <v/>
      </c>
      <c r="J131" s="11">
        <f>IF(A131="","",IFERROR(INDEX(CONEAU_EV_DESC,MATCH(A131,CONEAU_EV_ID,0)),""))</f>
        <v/>
      </c>
    </row>
    <row r="132">
      <c r="A132" s="8" t="n"/>
      <c r="B132" s="8" t="n"/>
      <c r="C132" s="8" t="n"/>
      <c r="D132" s="8" t="n"/>
      <c r="E132" s="8" t="n"/>
      <c r="F132" s="9" t="n"/>
      <c r="G132" s="8" t="n"/>
      <c r="H132" s="8" t="n"/>
      <c r="I132" s="11">
        <f>IF(A132="","",IFERROR(INDEX(CONEAU_EV_EST,MATCH(A132,CONEAU_EV_ID,0)),""))</f>
        <v/>
      </c>
      <c r="J132" s="11">
        <f>IF(A132="","",IFERROR(INDEX(CONEAU_EV_DESC,MATCH(A132,CONEAU_EV_ID,0)),""))</f>
        <v/>
      </c>
    </row>
    <row r="133">
      <c r="A133" s="8" t="n"/>
      <c r="B133" s="8" t="n"/>
      <c r="C133" s="8" t="n"/>
      <c r="D133" s="8" t="n"/>
      <c r="E133" s="8" t="n"/>
      <c r="F133" s="9" t="n"/>
      <c r="G133" s="8" t="n"/>
      <c r="H133" s="8" t="n"/>
      <c r="I133" s="11">
        <f>IF(A133="","",IFERROR(INDEX(CONEAU_EV_EST,MATCH(A133,CONEAU_EV_ID,0)),""))</f>
        <v/>
      </c>
      <c r="J133" s="11">
        <f>IF(A133="","",IFERROR(INDEX(CONEAU_EV_DESC,MATCH(A133,CONEAU_EV_ID,0)),""))</f>
        <v/>
      </c>
    </row>
    <row r="134">
      <c r="A134" s="8" t="n"/>
      <c r="B134" s="8" t="n"/>
      <c r="C134" s="8" t="n"/>
      <c r="D134" s="8" t="n"/>
      <c r="E134" s="8" t="n"/>
      <c r="F134" s="9" t="n"/>
      <c r="G134" s="8" t="n"/>
      <c r="H134" s="8" t="n"/>
      <c r="I134" s="11">
        <f>IF(A134="","",IFERROR(INDEX(CONEAU_EV_EST,MATCH(A134,CONEAU_EV_ID,0)),""))</f>
        <v/>
      </c>
      <c r="J134" s="11">
        <f>IF(A134="","",IFERROR(INDEX(CONEAU_EV_DESC,MATCH(A134,CONEAU_EV_ID,0)),""))</f>
        <v/>
      </c>
    </row>
    <row r="135">
      <c r="A135" s="8" t="n"/>
      <c r="B135" s="8" t="n"/>
      <c r="C135" s="8" t="n"/>
      <c r="D135" s="8" t="n"/>
      <c r="E135" s="8" t="n"/>
      <c r="F135" s="9" t="n"/>
      <c r="G135" s="8" t="n"/>
      <c r="H135" s="8" t="n"/>
      <c r="I135" s="11">
        <f>IF(A135="","",IFERROR(INDEX(CONEAU_EV_EST,MATCH(A135,CONEAU_EV_ID,0)),""))</f>
        <v/>
      </c>
      <c r="J135" s="11">
        <f>IF(A135="","",IFERROR(INDEX(CONEAU_EV_DESC,MATCH(A135,CONEAU_EV_ID,0)),""))</f>
        <v/>
      </c>
    </row>
    <row r="136">
      <c r="A136" s="8" t="n"/>
      <c r="B136" s="8" t="n"/>
      <c r="C136" s="8" t="n"/>
      <c r="D136" s="8" t="n"/>
      <c r="E136" s="8" t="n"/>
      <c r="F136" s="9" t="n"/>
      <c r="G136" s="8" t="n"/>
      <c r="H136" s="8" t="n"/>
      <c r="I136" s="11">
        <f>IF(A136="","",IFERROR(INDEX(CONEAU_EV_EST,MATCH(A136,CONEAU_EV_ID,0)),""))</f>
        <v/>
      </c>
      <c r="J136" s="11">
        <f>IF(A136="","",IFERROR(INDEX(CONEAU_EV_DESC,MATCH(A136,CONEAU_EV_ID,0)),""))</f>
        <v/>
      </c>
    </row>
    <row r="137">
      <c r="A137" s="8" t="n"/>
      <c r="B137" s="8" t="n"/>
      <c r="C137" s="8" t="n"/>
      <c r="D137" s="8" t="n"/>
      <c r="E137" s="8" t="n"/>
      <c r="F137" s="9" t="n"/>
      <c r="G137" s="8" t="n"/>
      <c r="H137" s="8" t="n"/>
      <c r="I137" s="11">
        <f>IF(A137="","",IFERROR(INDEX(CONEAU_EV_EST,MATCH(A137,CONEAU_EV_ID,0)),""))</f>
        <v/>
      </c>
      <c r="J137" s="11">
        <f>IF(A137="","",IFERROR(INDEX(CONEAU_EV_DESC,MATCH(A137,CONEAU_EV_ID,0)),""))</f>
        <v/>
      </c>
    </row>
    <row r="138">
      <c r="A138" s="8" t="n"/>
      <c r="B138" s="8" t="n"/>
      <c r="C138" s="8" t="n"/>
      <c r="D138" s="8" t="n"/>
      <c r="E138" s="8" t="n"/>
      <c r="F138" s="9" t="n"/>
      <c r="G138" s="8" t="n"/>
      <c r="H138" s="8" t="n"/>
      <c r="I138" s="11">
        <f>IF(A138="","",IFERROR(INDEX(CONEAU_EV_EST,MATCH(A138,CONEAU_EV_ID,0)),""))</f>
        <v/>
      </c>
      <c r="J138" s="11">
        <f>IF(A138="","",IFERROR(INDEX(CONEAU_EV_DESC,MATCH(A138,CONEAU_EV_ID,0)),""))</f>
        <v/>
      </c>
    </row>
    <row r="139">
      <c r="A139" s="8" t="n"/>
      <c r="B139" s="8" t="n"/>
      <c r="C139" s="8" t="n"/>
      <c r="D139" s="8" t="n"/>
      <c r="E139" s="8" t="n"/>
      <c r="F139" s="9" t="n"/>
      <c r="G139" s="8" t="n"/>
      <c r="H139" s="8" t="n"/>
      <c r="I139" s="11">
        <f>IF(A139="","",IFERROR(INDEX(CONEAU_EV_EST,MATCH(A139,CONEAU_EV_ID,0)),""))</f>
        <v/>
      </c>
      <c r="J139" s="11">
        <f>IF(A139="","",IFERROR(INDEX(CONEAU_EV_DESC,MATCH(A139,CONEAU_EV_ID,0)),""))</f>
        <v/>
      </c>
    </row>
    <row r="140">
      <c r="A140" s="8" t="n"/>
      <c r="B140" s="8" t="n"/>
      <c r="C140" s="8" t="n"/>
      <c r="D140" s="8" t="n"/>
      <c r="E140" s="8" t="n"/>
      <c r="F140" s="9" t="n"/>
      <c r="G140" s="8" t="n"/>
      <c r="H140" s="8" t="n"/>
      <c r="I140" s="11">
        <f>IF(A140="","",IFERROR(INDEX(CONEAU_EV_EST,MATCH(A140,CONEAU_EV_ID,0)),""))</f>
        <v/>
      </c>
      <c r="J140" s="11">
        <f>IF(A140="","",IFERROR(INDEX(CONEAU_EV_DESC,MATCH(A140,CONEAU_EV_ID,0)),""))</f>
        <v/>
      </c>
    </row>
    <row r="141">
      <c r="A141" s="8" t="n"/>
      <c r="B141" s="8" t="n"/>
      <c r="C141" s="8" t="n"/>
      <c r="D141" s="8" t="n"/>
      <c r="E141" s="8" t="n"/>
      <c r="F141" s="9" t="n"/>
      <c r="G141" s="8" t="n"/>
      <c r="H141" s="8" t="n"/>
      <c r="I141" s="11">
        <f>IF(A141="","",IFERROR(INDEX(CONEAU_EV_EST,MATCH(A141,CONEAU_EV_ID,0)),""))</f>
        <v/>
      </c>
      <c r="J141" s="11">
        <f>IF(A141="","",IFERROR(INDEX(CONEAU_EV_DESC,MATCH(A141,CONEAU_EV_ID,0)),""))</f>
        <v/>
      </c>
    </row>
    <row r="142">
      <c r="A142" s="8" t="n"/>
      <c r="B142" s="8" t="n"/>
      <c r="C142" s="8" t="n"/>
      <c r="D142" s="8" t="n"/>
      <c r="E142" s="8" t="n"/>
      <c r="F142" s="9" t="n"/>
      <c r="G142" s="8" t="n"/>
      <c r="H142" s="8" t="n"/>
      <c r="I142" s="11">
        <f>IF(A142="","",IFERROR(INDEX(CONEAU_EV_EST,MATCH(A142,CONEAU_EV_ID,0)),""))</f>
        <v/>
      </c>
      <c r="J142" s="11">
        <f>IF(A142="","",IFERROR(INDEX(CONEAU_EV_DESC,MATCH(A142,CONEAU_EV_ID,0)),""))</f>
        <v/>
      </c>
    </row>
    <row r="143">
      <c r="A143" s="8" t="n"/>
      <c r="B143" s="8" t="n"/>
      <c r="C143" s="8" t="n"/>
      <c r="D143" s="8" t="n"/>
      <c r="E143" s="8" t="n"/>
      <c r="F143" s="9" t="n"/>
      <c r="G143" s="8" t="n"/>
      <c r="H143" s="8" t="n"/>
      <c r="I143" s="11">
        <f>IF(A143="","",IFERROR(INDEX(CONEAU_EV_EST,MATCH(A143,CONEAU_EV_ID,0)),""))</f>
        <v/>
      </c>
      <c r="J143" s="11">
        <f>IF(A143="","",IFERROR(INDEX(CONEAU_EV_DESC,MATCH(A143,CONEAU_EV_ID,0)),""))</f>
        <v/>
      </c>
    </row>
    <row r="144">
      <c r="A144" s="8" t="n"/>
      <c r="B144" s="8" t="n"/>
      <c r="C144" s="8" t="n"/>
      <c r="D144" s="8" t="n"/>
      <c r="E144" s="8" t="n"/>
      <c r="F144" s="9" t="n"/>
      <c r="G144" s="8" t="n"/>
      <c r="H144" s="8" t="n"/>
      <c r="I144" s="11">
        <f>IF(A144="","",IFERROR(INDEX(CONEAU_EV_EST,MATCH(A144,CONEAU_EV_ID,0)),""))</f>
        <v/>
      </c>
      <c r="J144" s="11">
        <f>IF(A144="","",IFERROR(INDEX(CONEAU_EV_DESC,MATCH(A144,CONEAU_EV_ID,0)),""))</f>
        <v/>
      </c>
    </row>
    <row r="145">
      <c r="A145" s="8" t="n"/>
      <c r="B145" s="8" t="n"/>
      <c r="C145" s="8" t="n"/>
      <c r="D145" s="8" t="n"/>
      <c r="E145" s="8" t="n"/>
      <c r="F145" s="9" t="n"/>
      <c r="G145" s="8" t="n"/>
      <c r="H145" s="8" t="n"/>
      <c r="I145" s="11">
        <f>IF(A145="","",IFERROR(INDEX(CONEAU_EV_EST,MATCH(A145,CONEAU_EV_ID,0)),""))</f>
        <v/>
      </c>
      <c r="J145" s="11">
        <f>IF(A145="","",IFERROR(INDEX(CONEAU_EV_DESC,MATCH(A145,CONEAU_EV_ID,0)),""))</f>
        <v/>
      </c>
    </row>
    <row r="146">
      <c r="A146" s="8" t="n"/>
      <c r="B146" s="8" t="n"/>
      <c r="C146" s="8" t="n"/>
      <c r="D146" s="8" t="n"/>
      <c r="E146" s="8" t="n"/>
      <c r="F146" s="9" t="n"/>
      <c r="G146" s="8" t="n"/>
      <c r="H146" s="8" t="n"/>
      <c r="I146" s="11">
        <f>IF(A146="","",IFERROR(INDEX(CONEAU_EV_EST,MATCH(A146,CONEAU_EV_ID,0)),""))</f>
        <v/>
      </c>
      <c r="J146" s="11">
        <f>IF(A146="","",IFERROR(INDEX(CONEAU_EV_DESC,MATCH(A146,CONEAU_EV_ID,0)),""))</f>
        <v/>
      </c>
    </row>
    <row r="147">
      <c r="A147" s="8" t="n"/>
      <c r="B147" s="8" t="n"/>
      <c r="C147" s="8" t="n"/>
      <c r="D147" s="8" t="n"/>
      <c r="E147" s="8" t="n"/>
      <c r="F147" s="9" t="n"/>
      <c r="G147" s="8" t="n"/>
      <c r="H147" s="8" t="n"/>
      <c r="I147" s="11">
        <f>IF(A147="","",IFERROR(INDEX(CONEAU_EV_EST,MATCH(A147,CONEAU_EV_ID,0)),""))</f>
        <v/>
      </c>
      <c r="J147" s="11">
        <f>IF(A147="","",IFERROR(INDEX(CONEAU_EV_DESC,MATCH(A147,CONEAU_EV_ID,0)),""))</f>
        <v/>
      </c>
    </row>
    <row r="148">
      <c r="A148" s="8" t="n"/>
      <c r="B148" s="8" t="n"/>
      <c r="C148" s="8" t="n"/>
      <c r="D148" s="8" t="n"/>
      <c r="E148" s="8" t="n"/>
      <c r="F148" s="9" t="n"/>
      <c r="G148" s="8" t="n"/>
      <c r="H148" s="8" t="n"/>
      <c r="I148" s="11">
        <f>IF(A148="","",IFERROR(INDEX(CONEAU_EV_EST,MATCH(A148,CONEAU_EV_ID,0)),""))</f>
        <v/>
      </c>
      <c r="J148" s="11">
        <f>IF(A148="","",IFERROR(INDEX(CONEAU_EV_DESC,MATCH(A148,CONEAU_EV_ID,0)),""))</f>
        <v/>
      </c>
    </row>
    <row r="149">
      <c r="A149" s="8" t="n"/>
      <c r="B149" s="8" t="n"/>
      <c r="C149" s="8" t="n"/>
      <c r="D149" s="8" t="n"/>
      <c r="E149" s="8" t="n"/>
      <c r="F149" s="9" t="n"/>
      <c r="G149" s="8" t="n"/>
      <c r="H149" s="8" t="n"/>
      <c r="I149" s="11">
        <f>IF(A149="","",IFERROR(INDEX(CONEAU_EV_EST,MATCH(A149,CONEAU_EV_ID,0)),""))</f>
        <v/>
      </c>
      <c r="J149" s="11">
        <f>IF(A149="","",IFERROR(INDEX(CONEAU_EV_DESC,MATCH(A149,CONEAU_EV_ID,0)),""))</f>
        <v/>
      </c>
    </row>
    <row r="150">
      <c r="A150" s="8" t="n"/>
      <c r="B150" s="8" t="n"/>
      <c r="C150" s="8" t="n"/>
      <c r="D150" s="8" t="n"/>
      <c r="E150" s="8" t="n"/>
      <c r="F150" s="9" t="n"/>
      <c r="G150" s="8" t="n"/>
      <c r="H150" s="8" t="n"/>
      <c r="I150" s="11">
        <f>IF(A150="","",IFERROR(INDEX(CONEAU_EV_EST,MATCH(A150,CONEAU_EV_ID,0)),""))</f>
        <v/>
      </c>
      <c r="J150" s="11">
        <f>IF(A150="","",IFERROR(INDEX(CONEAU_EV_DESC,MATCH(A150,CONEAU_EV_ID,0)),""))</f>
        <v/>
      </c>
    </row>
    <row r="151">
      <c r="A151" s="8" t="n"/>
      <c r="B151" s="8" t="n"/>
      <c r="C151" s="8" t="n"/>
      <c r="D151" s="8" t="n"/>
      <c r="E151" s="8" t="n"/>
      <c r="F151" s="9" t="n"/>
      <c r="G151" s="8" t="n"/>
      <c r="H151" s="8" t="n"/>
      <c r="I151" s="11">
        <f>IF(A151="","",IFERROR(INDEX(CONEAU_EV_EST,MATCH(A151,CONEAU_EV_ID,0)),""))</f>
        <v/>
      </c>
      <c r="J151" s="11">
        <f>IF(A151="","",IFERROR(INDEX(CONEAU_EV_DESC,MATCH(A151,CONEAU_EV_ID,0)),""))</f>
        <v/>
      </c>
    </row>
    <row r="152">
      <c r="A152" s="8" t="n"/>
      <c r="B152" s="8" t="n"/>
      <c r="C152" s="8" t="n"/>
      <c r="D152" s="8" t="n"/>
      <c r="E152" s="8" t="n"/>
      <c r="F152" s="9" t="n"/>
      <c r="G152" s="8" t="n"/>
      <c r="H152" s="8" t="n"/>
      <c r="I152" s="11">
        <f>IF(A152="","",IFERROR(INDEX(CONEAU_EV_EST,MATCH(A152,CONEAU_EV_ID,0)),""))</f>
        <v/>
      </c>
      <c r="J152" s="11">
        <f>IF(A152="","",IFERROR(INDEX(CONEAU_EV_DESC,MATCH(A152,CONEAU_EV_ID,0)),""))</f>
        <v/>
      </c>
    </row>
    <row r="153">
      <c r="A153" s="8" t="n"/>
      <c r="B153" s="8" t="n"/>
      <c r="C153" s="8" t="n"/>
      <c r="D153" s="8" t="n"/>
      <c r="E153" s="8" t="n"/>
      <c r="F153" s="9" t="n"/>
      <c r="G153" s="8" t="n"/>
      <c r="H153" s="8" t="n"/>
      <c r="I153" s="11">
        <f>IF(A153="","",IFERROR(INDEX(CONEAU_EV_EST,MATCH(A153,CONEAU_EV_ID,0)),""))</f>
        <v/>
      </c>
      <c r="J153" s="11">
        <f>IF(A153="","",IFERROR(INDEX(CONEAU_EV_DESC,MATCH(A153,CONEAU_EV_ID,0)),""))</f>
        <v/>
      </c>
    </row>
    <row r="154">
      <c r="A154" s="8" t="n"/>
      <c r="B154" s="8" t="n"/>
      <c r="C154" s="8" t="n"/>
      <c r="D154" s="8" t="n"/>
      <c r="E154" s="8" t="n"/>
      <c r="F154" s="9" t="n"/>
      <c r="G154" s="8" t="n"/>
      <c r="H154" s="8" t="n"/>
      <c r="I154" s="11">
        <f>IF(A154="","",IFERROR(INDEX(CONEAU_EV_EST,MATCH(A154,CONEAU_EV_ID,0)),""))</f>
        <v/>
      </c>
      <c r="J154" s="11">
        <f>IF(A154="","",IFERROR(INDEX(CONEAU_EV_DESC,MATCH(A154,CONEAU_EV_ID,0)),""))</f>
        <v/>
      </c>
    </row>
    <row r="155">
      <c r="A155" s="8" t="n"/>
      <c r="B155" s="8" t="n"/>
      <c r="C155" s="8" t="n"/>
      <c r="D155" s="8" t="n"/>
      <c r="E155" s="8" t="n"/>
      <c r="F155" s="9" t="n"/>
      <c r="G155" s="8" t="n"/>
      <c r="H155" s="8" t="n"/>
      <c r="I155" s="11">
        <f>IF(A155="","",IFERROR(INDEX(CONEAU_EV_EST,MATCH(A155,CONEAU_EV_ID,0)),""))</f>
        <v/>
      </c>
      <c r="J155" s="11">
        <f>IF(A155="","",IFERROR(INDEX(CONEAU_EV_DESC,MATCH(A155,CONEAU_EV_ID,0)),""))</f>
        <v/>
      </c>
    </row>
    <row r="156">
      <c r="A156" s="8" t="n"/>
      <c r="B156" s="8" t="n"/>
      <c r="C156" s="8" t="n"/>
      <c r="D156" s="8" t="n"/>
      <c r="E156" s="8" t="n"/>
      <c r="F156" s="9" t="n"/>
      <c r="G156" s="8" t="n"/>
      <c r="H156" s="8" t="n"/>
      <c r="I156" s="11">
        <f>IF(A156="","",IFERROR(INDEX(CONEAU_EV_EST,MATCH(A156,CONEAU_EV_ID,0)),""))</f>
        <v/>
      </c>
      <c r="J156" s="11">
        <f>IF(A156="","",IFERROR(INDEX(CONEAU_EV_DESC,MATCH(A156,CONEAU_EV_ID,0)),""))</f>
        <v/>
      </c>
    </row>
    <row r="157">
      <c r="A157" s="8" t="n"/>
      <c r="B157" s="8" t="n"/>
      <c r="C157" s="8" t="n"/>
      <c r="D157" s="8" t="n"/>
      <c r="E157" s="8" t="n"/>
      <c r="F157" s="9" t="n"/>
      <c r="G157" s="8" t="n"/>
      <c r="H157" s="8" t="n"/>
      <c r="I157" s="11">
        <f>IF(A157="","",IFERROR(INDEX(CONEAU_EV_EST,MATCH(A157,CONEAU_EV_ID,0)),""))</f>
        <v/>
      </c>
      <c r="J157" s="11">
        <f>IF(A157="","",IFERROR(INDEX(CONEAU_EV_DESC,MATCH(A157,CONEAU_EV_ID,0)),""))</f>
        <v/>
      </c>
    </row>
    <row r="158">
      <c r="A158" s="8" t="n"/>
      <c r="B158" s="8" t="n"/>
      <c r="C158" s="8" t="n"/>
      <c r="D158" s="8" t="n"/>
      <c r="E158" s="8" t="n"/>
      <c r="F158" s="9" t="n"/>
      <c r="G158" s="8" t="n"/>
      <c r="H158" s="8" t="n"/>
      <c r="I158" s="11">
        <f>IF(A158="","",IFERROR(INDEX(CONEAU_EV_EST,MATCH(A158,CONEAU_EV_ID,0)),""))</f>
        <v/>
      </c>
      <c r="J158" s="11">
        <f>IF(A158="","",IFERROR(INDEX(CONEAU_EV_DESC,MATCH(A158,CONEAU_EV_ID,0)),""))</f>
        <v/>
      </c>
    </row>
    <row r="159">
      <c r="A159" s="8" t="n"/>
      <c r="B159" s="8" t="n"/>
      <c r="C159" s="8" t="n"/>
      <c r="D159" s="8" t="n"/>
      <c r="E159" s="8" t="n"/>
      <c r="F159" s="9" t="n"/>
      <c r="G159" s="8" t="n"/>
      <c r="H159" s="8" t="n"/>
      <c r="I159" s="11">
        <f>IF(A159="","",IFERROR(INDEX(CONEAU_EV_EST,MATCH(A159,CONEAU_EV_ID,0)),""))</f>
        <v/>
      </c>
      <c r="J159" s="11">
        <f>IF(A159="","",IFERROR(INDEX(CONEAU_EV_DESC,MATCH(A159,CONEAU_EV_ID,0)),""))</f>
        <v/>
      </c>
    </row>
    <row r="160">
      <c r="A160" s="8" t="n"/>
      <c r="B160" s="8" t="n"/>
      <c r="C160" s="8" t="n"/>
      <c r="D160" s="8" t="n"/>
      <c r="E160" s="8" t="n"/>
      <c r="F160" s="9" t="n"/>
      <c r="G160" s="8" t="n"/>
      <c r="H160" s="8" t="n"/>
      <c r="I160" s="11">
        <f>IF(A160="","",IFERROR(INDEX(CONEAU_EV_EST,MATCH(A160,CONEAU_EV_ID,0)),""))</f>
        <v/>
      </c>
      <c r="J160" s="11">
        <f>IF(A160="","",IFERROR(INDEX(CONEAU_EV_DESC,MATCH(A160,CONEAU_EV_ID,0)),""))</f>
        <v/>
      </c>
    </row>
    <row r="161">
      <c r="A161" s="8" t="n"/>
      <c r="B161" s="8" t="n"/>
      <c r="C161" s="8" t="n"/>
      <c r="D161" s="8" t="n"/>
      <c r="E161" s="8" t="n"/>
      <c r="F161" s="9" t="n"/>
      <c r="G161" s="8" t="n"/>
      <c r="H161" s="8" t="n"/>
      <c r="I161" s="11">
        <f>IF(A161="","",IFERROR(INDEX(CONEAU_EV_EST,MATCH(A161,CONEAU_EV_ID,0)),""))</f>
        <v/>
      </c>
      <c r="J161" s="11">
        <f>IF(A161="","",IFERROR(INDEX(CONEAU_EV_DESC,MATCH(A161,CONEAU_EV_ID,0)),""))</f>
        <v/>
      </c>
    </row>
    <row r="162">
      <c r="A162" s="8" t="n"/>
      <c r="B162" s="8" t="n"/>
      <c r="C162" s="8" t="n"/>
      <c r="D162" s="8" t="n"/>
      <c r="E162" s="8" t="n"/>
      <c r="F162" s="9" t="n"/>
      <c r="G162" s="8" t="n"/>
      <c r="H162" s="8" t="n"/>
      <c r="I162" s="11">
        <f>IF(A162="","",IFERROR(INDEX(CONEAU_EV_EST,MATCH(A162,CONEAU_EV_ID,0)),""))</f>
        <v/>
      </c>
      <c r="J162" s="11">
        <f>IF(A162="","",IFERROR(INDEX(CONEAU_EV_DESC,MATCH(A162,CONEAU_EV_ID,0)),""))</f>
        <v/>
      </c>
    </row>
    <row r="163">
      <c r="A163" s="8" t="n"/>
      <c r="B163" s="8" t="n"/>
      <c r="C163" s="8" t="n"/>
      <c r="D163" s="8" t="n"/>
      <c r="E163" s="8" t="n"/>
      <c r="F163" s="9" t="n"/>
      <c r="G163" s="8" t="n"/>
      <c r="H163" s="8" t="n"/>
      <c r="I163" s="11">
        <f>IF(A163="","",IFERROR(INDEX(CONEAU_EV_EST,MATCH(A163,CONEAU_EV_ID,0)),""))</f>
        <v/>
      </c>
      <c r="J163" s="11">
        <f>IF(A163="","",IFERROR(INDEX(CONEAU_EV_DESC,MATCH(A163,CONEAU_EV_ID,0)),""))</f>
        <v/>
      </c>
    </row>
    <row r="164">
      <c r="A164" s="8" t="n"/>
      <c r="B164" s="8" t="n"/>
      <c r="C164" s="8" t="n"/>
      <c r="D164" s="8" t="n"/>
      <c r="E164" s="8" t="n"/>
      <c r="F164" s="9" t="n"/>
      <c r="G164" s="8" t="n"/>
      <c r="H164" s="8" t="n"/>
      <c r="I164" s="11">
        <f>IF(A164="","",IFERROR(INDEX(CONEAU_EV_EST,MATCH(A164,CONEAU_EV_ID,0)),""))</f>
        <v/>
      </c>
      <c r="J164" s="11">
        <f>IF(A164="","",IFERROR(INDEX(CONEAU_EV_DESC,MATCH(A164,CONEAU_EV_ID,0)),""))</f>
        <v/>
      </c>
    </row>
    <row r="165">
      <c r="A165" s="8" t="n"/>
      <c r="B165" s="8" t="n"/>
      <c r="C165" s="8" t="n"/>
      <c r="D165" s="8" t="n"/>
      <c r="E165" s="8" t="n"/>
      <c r="F165" s="9" t="n"/>
      <c r="G165" s="8" t="n"/>
      <c r="H165" s="8" t="n"/>
      <c r="I165" s="11">
        <f>IF(A165="","",IFERROR(INDEX(CONEAU_EV_EST,MATCH(A165,CONEAU_EV_ID,0)),""))</f>
        <v/>
      </c>
      <c r="J165" s="11">
        <f>IF(A165="","",IFERROR(INDEX(CONEAU_EV_DESC,MATCH(A165,CONEAU_EV_ID,0)),""))</f>
        <v/>
      </c>
    </row>
    <row r="166">
      <c r="A166" s="8" t="n"/>
      <c r="B166" s="8" t="n"/>
      <c r="C166" s="8" t="n"/>
      <c r="D166" s="8" t="n"/>
      <c r="E166" s="8" t="n"/>
      <c r="F166" s="9" t="n"/>
      <c r="G166" s="8" t="n"/>
      <c r="H166" s="8" t="n"/>
      <c r="I166" s="11">
        <f>IF(A166="","",IFERROR(INDEX(CONEAU_EV_EST,MATCH(A166,CONEAU_EV_ID,0)),""))</f>
        <v/>
      </c>
      <c r="J166" s="11">
        <f>IF(A166="","",IFERROR(INDEX(CONEAU_EV_DESC,MATCH(A166,CONEAU_EV_ID,0)),""))</f>
        <v/>
      </c>
    </row>
    <row r="167">
      <c r="A167" s="8" t="n"/>
      <c r="B167" s="8" t="n"/>
      <c r="C167" s="8" t="n"/>
      <c r="D167" s="8" t="n"/>
      <c r="E167" s="8" t="n"/>
      <c r="F167" s="9" t="n"/>
      <c r="G167" s="8" t="n"/>
      <c r="H167" s="8" t="n"/>
      <c r="I167" s="11">
        <f>IF(A167="","",IFERROR(INDEX(CONEAU_EV_EST,MATCH(A167,CONEAU_EV_ID,0)),""))</f>
        <v/>
      </c>
      <c r="J167" s="11">
        <f>IF(A167="","",IFERROR(INDEX(CONEAU_EV_DESC,MATCH(A167,CONEAU_EV_ID,0)),""))</f>
        <v/>
      </c>
    </row>
    <row r="168">
      <c r="A168" s="8" t="n"/>
      <c r="B168" s="8" t="n"/>
      <c r="C168" s="8" t="n"/>
      <c r="D168" s="8" t="n"/>
      <c r="E168" s="8" t="n"/>
      <c r="F168" s="9" t="n"/>
      <c r="G168" s="8" t="n"/>
      <c r="H168" s="8" t="n"/>
      <c r="I168" s="11">
        <f>IF(A168="","",IFERROR(INDEX(CONEAU_EV_EST,MATCH(A168,CONEAU_EV_ID,0)),""))</f>
        <v/>
      </c>
      <c r="J168" s="11">
        <f>IF(A168="","",IFERROR(INDEX(CONEAU_EV_DESC,MATCH(A168,CONEAU_EV_ID,0)),""))</f>
        <v/>
      </c>
    </row>
    <row r="169">
      <c r="A169" s="8" t="n"/>
      <c r="B169" s="8" t="n"/>
      <c r="C169" s="8" t="n"/>
      <c r="D169" s="8" t="n"/>
      <c r="E169" s="8" t="n"/>
      <c r="F169" s="9" t="n"/>
      <c r="G169" s="8" t="n"/>
      <c r="H169" s="8" t="n"/>
      <c r="I169" s="11">
        <f>IF(A169="","",IFERROR(INDEX(CONEAU_EV_EST,MATCH(A169,CONEAU_EV_ID,0)),""))</f>
        <v/>
      </c>
      <c r="J169" s="11">
        <f>IF(A169="","",IFERROR(INDEX(CONEAU_EV_DESC,MATCH(A169,CONEAU_EV_ID,0)),""))</f>
        <v/>
      </c>
    </row>
    <row r="170">
      <c r="A170" s="8" t="n"/>
      <c r="B170" s="8" t="n"/>
      <c r="C170" s="8" t="n"/>
      <c r="D170" s="8" t="n"/>
      <c r="E170" s="8" t="n"/>
      <c r="F170" s="9" t="n"/>
      <c r="G170" s="8" t="n"/>
      <c r="H170" s="8" t="n"/>
      <c r="I170" s="11">
        <f>IF(A170="","",IFERROR(INDEX(CONEAU_EV_EST,MATCH(A170,CONEAU_EV_ID,0)),""))</f>
        <v/>
      </c>
      <c r="J170" s="11">
        <f>IF(A170="","",IFERROR(INDEX(CONEAU_EV_DESC,MATCH(A170,CONEAU_EV_ID,0)),""))</f>
        <v/>
      </c>
    </row>
    <row r="171">
      <c r="A171" s="8" t="n"/>
      <c r="B171" s="8" t="n"/>
      <c r="C171" s="8" t="n"/>
      <c r="D171" s="8" t="n"/>
      <c r="E171" s="8" t="n"/>
      <c r="F171" s="9" t="n"/>
      <c r="G171" s="8" t="n"/>
      <c r="H171" s="8" t="n"/>
      <c r="I171" s="11">
        <f>IF(A171="","",IFERROR(INDEX(CONEAU_EV_EST,MATCH(A171,CONEAU_EV_ID,0)),""))</f>
        <v/>
      </c>
      <c r="J171" s="11">
        <f>IF(A171="","",IFERROR(INDEX(CONEAU_EV_DESC,MATCH(A171,CONEAU_EV_ID,0)),""))</f>
        <v/>
      </c>
    </row>
    <row r="172">
      <c r="A172" s="8" t="n"/>
      <c r="B172" s="8" t="n"/>
      <c r="C172" s="8" t="n"/>
      <c r="D172" s="8" t="n"/>
      <c r="E172" s="8" t="n"/>
      <c r="F172" s="9" t="n"/>
      <c r="G172" s="8" t="n"/>
      <c r="H172" s="8" t="n"/>
      <c r="I172" s="11">
        <f>IF(A172="","",IFERROR(INDEX(CONEAU_EV_EST,MATCH(A172,CONEAU_EV_ID,0)),""))</f>
        <v/>
      </c>
      <c r="J172" s="11">
        <f>IF(A172="","",IFERROR(INDEX(CONEAU_EV_DESC,MATCH(A172,CONEAU_EV_ID,0)),""))</f>
        <v/>
      </c>
    </row>
    <row r="173">
      <c r="A173" s="8" t="n"/>
      <c r="B173" s="8" t="n"/>
      <c r="C173" s="8" t="n"/>
      <c r="D173" s="8" t="n"/>
      <c r="E173" s="8" t="n"/>
      <c r="F173" s="9" t="n"/>
      <c r="G173" s="8" t="n"/>
      <c r="H173" s="8" t="n"/>
      <c r="I173" s="11">
        <f>IF(A173="","",IFERROR(INDEX(CONEAU_EV_EST,MATCH(A173,CONEAU_EV_ID,0)),""))</f>
        <v/>
      </c>
      <c r="J173" s="11">
        <f>IF(A173="","",IFERROR(INDEX(CONEAU_EV_DESC,MATCH(A173,CONEAU_EV_ID,0)),""))</f>
        <v/>
      </c>
    </row>
    <row r="174">
      <c r="A174" s="8" t="n"/>
      <c r="B174" s="8" t="n"/>
      <c r="C174" s="8" t="n"/>
      <c r="D174" s="8" t="n"/>
      <c r="E174" s="8" t="n"/>
      <c r="F174" s="9" t="n"/>
      <c r="G174" s="8" t="n"/>
      <c r="H174" s="8" t="n"/>
      <c r="I174" s="11">
        <f>IF(A174="","",IFERROR(INDEX(CONEAU_EV_EST,MATCH(A174,CONEAU_EV_ID,0)),""))</f>
        <v/>
      </c>
      <c r="J174" s="11">
        <f>IF(A174="","",IFERROR(INDEX(CONEAU_EV_DESC,MATCH(A174,CONEAU_EV_ID,0)),""))</f>
        <v/>
      </c>
    </row>
    <row r="175">
      <c r="A175" s="8" t="n"/>
      <c r="B175" s="8" t="n"/>
      <c r="C175" s="8" t="n"/>
      <c r="D175" s="8" t="n"/>
      <c r="E175" s="8" t="n"/>
      <c r="F175" s="9" t="n"/>
      <c r="G175" s="8" t="n"/>
      <c r="H175" s="8" t="n"/>
      <c r="I175" s="11">
        <f>IF(A175="","",IFERROR(INDEX(CONEAU_EV_EST,MATCH(A175,CONEAU_EV_ID,0)),""))</f>
        <v/>
      </c>
      <c r="J175" s="11">
        <f>IF(A175="","",IFERROR(INDEX(CONEAU_EV_DESC,MATCH(A175,CONEAU_EV_ID,0)),""))</f>
        <v/>
      </c>
    </row>
    <row r="176">
      <c r="A176" s="8" t="n"/>
      <c r="B176" s="8" t="n"/>
      <c r="C176" s="8" t="n"/>
      <c r="D176" s="8" t="n"/>
      <c r="E176" s="8" t="n"/>
      <c r="F176" s="9" t="n"/>
      <c r="G176" s="8" t="n"/>
      <c r="H176" s="8" t="n"/>
      <c r="I176" s="11">
        <f>IF(A176="","",IFERROR(INDEX(CONEAU_EV_EST,MATCH(A176,CONEAU_EV_ID,0)),""))</f>
        <v/>
      </c>
      <c r="J176" s="11">
        <f>IF(A176="","",IFERROR(INDEX(CONEAU_EV_DESC,MATCH(A176,CONEAU_EV_ID,0)),""))</f>
        <v/>
      </c>
    </row>
    <row r="177">
      <c r="A177" s="8" t="n"/>
      <c r="B177" s="8" t="n"/>
      <c r="C177" s="8" t="n"/>
      <c r="D177" s="8" t="n"/>
      <c r="E177" s="8" t="n"/>
      <c r="F177" s="9" t="n"/>
      <c r="G177" s="8" t="n"/>
      <c r="H177" s="8" t="n"/>
      <c r="I177" s="11">
        <f>IF(A177="","",IFERROR(INDEX(CONEAU_EV_EST,MATCH(A177,CONEAU_EV_ID,0)),""))</f>
        <v/>
      </c>
      <c r="J177" s="11">
        <f>IF(A177="","",IFERROR(INDEX(CONEAU_EV_DESC,MATCH(A177,CONEAU_EV_ID,0)),""))</f>
        <v/>
      </c>
    </row>
    <row r="178">
      <c r="A178" s="8" t="n"/>
      <c r="B178" s="8" t="n"/>
      <c r="C178" s="8" t="n"/>
      <c r="D178" s="8" t="n"/>
      <c r="E178" s="8" t="n"/>
      <c r="F178" s="9" t="n"/>
      <c r="G178" s="8" t="n"/>
      <c r="H178" s="8" t="n"/>
      <c r="I178" s="11">
        <f>IF(A178="","",IFERROR(INDEX(CONEAU_EV_EST,MATCH(A178,CONEAU_EV_ID,0)),""))</f>
        <v/>
      </c>
      <c r="J178" s="11">
        <f>IF(A178="","",IFERROR(INDEX(CONEAU_EV_DESC,MATCH(A178,CONEAU_EV_ID,0)),""))</f>
        <v/>
      </c>
    </row>
    <row r="179">
      <c r="A179" s="8" t="n"/>
      <c r="B179" s="8" t="n"/>
      <c r="C179" s="8" t="n"/>
      <c r="D179" s="8" t="n"/>
      <c r="E179" s="8" t="n"/>
      <c r="F179" s="9" t="n"/>
      <c r="G179" s="8" t="n"/>
      <c r="H179" s="8" t="n"/>
      <c r="I179" s="11">
        <f>IF(A179="","",IFERROR(INDEX(CONEAU_EV_EST,MATCH(A179,CONEAU_EV_ID,0)),""))</f>
        <v/>
      </c>
      <c r="J179" s="11">
        <f>IF(A179="","",IFERROR(INDEX(CONEAU_EV_DESC,MATCH(A179,CONEAU_EV_ID,0)),""))</f>
        <v/>
      </c>
    </row>
    <row r="180">
      <c r="A180" s="8" t="n"/>
      <c r="B180" s="8" t="n"/>
      <c r="C180" s="8" t="n"/>
      <c r="D180" s="8" t="n"/>
      <c r="E180" s="8" t="n"/>
      <c r="F180" s="9" t="n"/>
      <c r="G180" s="8" t="n"/>
      <c r="H180" s="8" t="n"/>
      <c r="I180" s="11">
        <f>IF(A180="","",IFERROR(INDEX(CONEAU_EV_EST,MATCH(A180,CONEAU_EV_ID,0)),""))</f>
        <v/>
      </c>
      <c r="J180" s="11">
        <f>IF(A180="","",IFERROR(INDEX(CONEAU_EV_DESC,MATCH(A180,CONEAU_EV_ID,0)),""))</f>
        <v/>
      </c>
    </row>
    <row r="181">
      <c r="A181" s="8" t="n"/>
      <c r="B181" s="8" t="n"/>
      <c r="C181" s="8" t="n"/>
      <c r="D181" s="8" t="n"/>
      <c r="E181" s="8" t="n"/>
      <c r="F181" s="9" t="n"/>
      <c r="G181" s="8" t="n"/>
      <c r="H181" s="8" t="n"/>
      <c r="I181" s="11">
        <f>IF(A181="","",IFERROR(INDEX(CONEAU_EV_EST,MATCH(A181,CONEAU_EV_ID,0)),""))</f>
        <v/>
      </c>
      <c r="J181" s="11">
        <f>IF(A181="","",IFERROR(INDEX(CONEAU_EV_DESC,MATCH(A181,CONEAU_EV_ID,0)),""))</f>
        <v/>
      </c>
    </row>
    <row r="182">
      <c r="A182" s="8" t="n"/>
      <c r="B182" s="8" t="n"/>
      <c r="C182" s="8" t="n"/>
      <c r="D182" s="8" t="n"/>
      <c r="E182" s="8" t="n"/>
      <c r="F182" s="9" t="n"/>
      <c r="G182" s="8" t="n"/>
      <c r="H182" s="8" t="n"/>
      <c r="I182" s="11">
        <f>IF(A182="","",IFERROR(INDEX(CONEAU_EV_EST,MATCH(A182,CONEAU_EV_ID,0)),""))</f>
        <v/>
      </c>
      <c r="J182" s="11">
        <f>IF(A182="","",IFERROR(INDEX(CONEAU_EV_DESC,MATCH(A182,CONEAU_EV_ID,0)),""))</f>
        <v/>
      </c>
    </row>
    <row r="183">
      <c r="A183" s="8" t="n"/>
      <c r="B183" s="8" t="n"/>
      <c r="C183" s="8" t="n"/>
      <c r="D183" s="8" t="n"/>
      <c r="E183" s="8" t="n"/>
      <c r="F183" s="9" t="n"/>
      <c r="G183" s="8" t="n"/>
      <c r="H183" s="8" t="n"/>
      <c r="I183" s="11">
        <f>IF(A183="","",IFERROR(INDEX(CONEAU_EV_EST,MATCH(A183,CONEAU_EV_ID,0)),""))</f>
        <v/>
      </c>
      <c r="J183" s="11">
        <f>IF(A183="","",IFERROR(INDEX(CONEAU_EV_DESC,MATCH(A183,CONEAU_EV_ID,0)),""))</f>
        <v/>
      </c>
    </row>
    <row r="184">
      <c r="A184" s="8" t="n"/>
      <c r="B184" s="8" t="n"/>
      <c r="C184" s="8" t="n"/>
      <c r="D184" s="8" t="n"/>
      <c r="E184" s="8" t="n"/>
      <c r="F184" s="9" t="n"/>
      <c r="G184" s="8" t="n"/>
      <c r="H184" s="8" t="n"/>
      <c r="I184" s="11">
        <f>IF(A184="","",IFERROR(INDEX(CONEAU_EV_EST,MATCH(A184,CONEAU_EV_ID,0)),""))</f>
        <v/>
      </c>
      <c r="J184" s="11">
        <f>IF(A184="","",IFERROR(INDEX(CONEAU_EV_DESC,MATCH(A184,CONEAU_EV_ID,0)),""))</f>
        <v/>
      </c>
    </row>
    <row r="185">
      <c r="A185" s="8" t="n"/>
      <c r="B185" s="8" t="n"/>
      <c r="C185" s="8" t="n"/>
      <c r="D185" s="8" t="n"/>
      <c r="E185" s="8" t="n"/>
      <c r="F185" s="9" t="n"/>
      <c r="G185" s="8" t="n"/>
      <c r="H185" s="8" t="n"/>
      <c r="I185" s="11">
        <f>IF(A185="","",IFERROR(INDEX(CONEAU_EV_EST,MATCH(A185,CONEAU_EV_ID,0)),""))</f>
        <v/>
      </c>
      <c r="J185" s="11">
        <f>IF(A185="","",IFERROR(INDEX(CONEAU_EV_DESC,MATCH(A185,CONEAU_EV_ID,0)),""))</f>
        <v/>
      </c>
    </row>
    <row r="186">
      <c r="A186" s="8" t="n"/>
      <c r="B186" s="8" t="n"/>
      <c r="C186" s="8" t="n"/>
      <c r="D186" s="8" t="n"/>
      <c r="E186" s="8" t="n"/>
      <c r="F186" s="9" t="n"/>
      <c r="G186" s="8" t="n"/>
      <c r="H186" s="8" t="n"/>
      <c r="I186" s="11">
        <f>IF(A186="","",IFERROR(INDEX(CONEAU_EV_EST,MATCH(A186,CONEAU_EV_ID,0)),""))</f>
        <v/>
      </c>
      <c r="J186" s="11">
        <f>IF(A186="","",IFERROR(INDEX(CONEAU_EV_DESC,MATCH(A186,CONEAU_EV_ID,0)),""))</f>
        <v/>
      </c>
    </row>
    <row r="187">
      <c r="A187" s="8" t="n"/>
      <c r="B187" s="8" t="n"/>
      <c r="C187" s="8" t="n"/>
      <c r="D187" s="8" t="n"/>
      <c r="E187" s="8" t="n"/>
      <c r="F187" s="9" t="n"/>
      <c r="G187" s="8" t="n"/>
      <c r="H187" s="8" t="n"/>
      <c r="I187" s="11">
        <f>IF(A187="","",IFERROR(INDEX(CONEAU_EV_EST,MATCH(A187,CONEAU_EV_ID,0)),""))</f>
        <v/>
      </c>
      <c r="J187" s="11">
        <f>IF(A187="","",IFERROR(INDEX(CONEAU_EV_DESC,MATCH(A187,CONEAU_EV_ID,0)),""))</f>
        <v/>
      </c>
    </row>
    <row r="188">
      <c r="A188" s="8" t="n"/>
      <c r="B188" s="8" t="n"/>
      <c r="C188" s="8" t="n"/>
      <c r="D188" s="8" t="n"/>
      <c r="E188" s="8" t="n"/>
      <c r="F188" s="9" t="n"/>
      <c r="G188" s="8" t="n"/>
      <c r="H188" s="8" t="n"/>
      <c r="I188" s="11">
        <f>IF(A188="","",IFERROR(INDEX(CONEAU_EV_EST,MATCH(A188,CONEAU_EV_ID,0)),""))</f>
        <v/>
      </c>
      <c r="J188" s="11">
        <f>IF(A188="","",IFERROR(INDEX(CONEAU_EV_DESC,MATCH(A188,CONEAU_EV_ID,0)),""))</f>
        <v/>
      </c>
    </row>
    <row r="189">
      <c r="A189" s="8" t="n"/>
      <c r="B189" s="8" t="n"/>
      <c r="C189" s="8" t="n"/>
      <c r="D189" s="8" t="n"/>
      <c r="E189" s="8" t="n"/>
      <c r="F189" s="9" t="n"/>
      <c r="G189" s="8" t="n"/>
      <c r="H189" s="8" t="n"/>
      <c r="I189" s="11">
        <f>IF(A189="","",IFERROR(INDEX(CONEAU_EV_EST,MATCH(A189,CONEAU_EV_ID,0)),""))</f>
        <v/>
      </c>
      <c r="J189" s="11">
        <f>IF(A189="","",IFERROR(INDEX(CONEAU_EV_DESC,MATCH(A189,CONEAU_EV_ID,0)),""))</f>
        <v/>
      </c>
    </row>
    <row r="190">
      <c r="A190" s="8" t="n"/>
      <c r="B190" s="8" t="n"/>
      <c r="C190" s="8" t="n"/>
      <c r="D190" s="8" t="n"/>
      <c r="E190" s="8" t="n"/>
      <c r="F190" s="9" t="n"/>
      <c r="G190" s="8" t="n"/>
      <c r="H190" s="8" t="n"/>
      <c r="I190" s="11">
        <f>IF(A190="","",IFERROR(INDEX(CONEAU_EV_EST,MATCH(A190,CONEAU_EV_ID,0)),""))</f>
        <v/>
      </c>
      <c r="J190" s="11">
        <f>IF(A190="","",IFERROR(INDEX(CONEAU_EV_DESC,MATCH(A190,CONEAU_EV_ID,0)),""))</f>
        <v/>
      </c>
    </row>
    <row r="191">
      <c r="A191" s="8" t="n"/>
      <c r="B191" s="8" t="n"/>
      <c r="C191" s="8" t="n"/>
      <c r="D191" s="8" t="n"/>
      <c r="E191" s="8" t="n"/>
      <c r="F191" s="9" t="n"/>
      <c r="G191" s="8" t="n"/>
      <c r="H191" s="8" t="n"/>
      <c r="I191" s="11">
        <f>IF(A191="","",IFERROR(INDEX(CONEAU_EV_EST,MATCH(A191,CONEAU_EV_ID,0)),""))</f>
        <v/>
      </c>
      <c r="J191" s="11">
        <f>IF(A191="","",IFERROR(INDEX(CONEAU_EV_DESC,MATCH(A191,CONEAU_EV_ID,0)),""))</f>
        <v/>
      </c>
    </row>
    <row r="192">
      <c r="A192" s="8" t="n"/>
      <c r="B192" s="8" t="n"/>
      <c r="C192" s="8" t="n"/>
      <c r="D192" s="8" t="n"/>
      <c r="E192" s="8" t="n"/>
      <c r="F192" s="9" t="n"/>
      <c r="G192" s="8" t="n"/>
      <c r="H192" s="8" t="n"/>
      <c r="I192" s="11">
        <f>IF(A192="","",IFERROR(INDEX(CONEAU_EV_EST,MATCH(A192,CONEAU_EV_ID,0)),""))</f>
        <v/>
      </c>
      <c r="J192" s="11">
        <f>IF(A192="","",IFERROR(INDEX(CONEAU_EV_DESC,MATCH(A192,CONEAU_EV_ID,0)),""))</f>
        <v/>
      </c>
    </row>
    <row r="193">
      <c r="A193" s="8" t="n"/>
      <c r="B193" s="8" t="n"/>
      <c r="C193" s="8" t="n"/>
      <c r="D193" s="8" t="n"/>
      <c r="E193" s="8" t="n"/>
      <c r="F193" s="9" t="n"/>
      <c r="G193" s="8" t="n"/>
      <c r="H193" s="8" t="n"/>
      <c r="I193" s="11">
        <f>IF(A193="","",IFERROR(INDEX(CONEAU_EV_EST,MATCH(A193,CONEAU_EV_ID,0)),""))</f>
        <v/>
      </c>
      <c r="J193" s="11">
        <f>IF(A193="","",IFERROR(INDEX(CONEAU_EV_DESC,MATCH(A193,CONEAU_EV_ID,0)),""))</f>
        <v/>
      </c>
    </row>
    <row r="194">
      <c r="A194" s="8" t="n"/>
      <c r="B194" s="8" t="n"/>
      <c r="C194" s="8" t="n"/>
      <c r="D194" s="8" t="n"/>
      <c r="E194" s="8" t="n"/>
      <c r="F194" s="9" t="n"/>
      <c r="G194" s="8" t="n"/>
      <c r="H194" s="8" t="n"/>
      <c r="I194" s="11">
        <f>IF(A194="","",IFERROR(INDEX(CONEAU_EV_EST,MATCH(A194,CONEAU_EV_ID,0)),""))</f>
        <v/>
      </c>
      <c r="J194" s="11">
        <f>IF(A194="","",IFERROR(INDEX(CONEAU_EV_DESC,MATCH(A194,CONEAU_EV_ID,0)),""))</f>
        <v/>
      </c>
    </row>
    <row r="195">
      <c r="A195" s="8" t="n"/>
      <c r="B195" s="8" t="n"/>
      <c r="C195" s="8" t="n"/>
      <c r="D195" s="8" t="n"/>
      <c r="E195" s="8" t="n"/>
      <c r="F195" s="9" t="n"/>
      <c r="G195" s="8" t="n"/>
      <c r="H195" s="8" t="n"/>
      <c r="I195" s="11">
        <f>IF(A195="","",IFERROR(INDEX(CONEAU_EV_EST,MATCH(A195,CONEAU_EV_ID,0)),""))</f>
        <v/>
      </c>
      <c r="J195" s="11">
        <f>IF(A195="","",IFERROR(INDEX(CONEAU_EV_DESC,MATCH(A195,CONEAU_EV_ID,0)),""))</f>
        <v/>
      </c>
    </row>
    <row r="196">
      <c r="A196" s="8" t="n"/>
      <c r="B196" s="8" t="n"/>
      <c r="C196" s="8" t="n"/>
      <c r="D196" s="8" t="n"/>
      <c r="E196" s="8" t="n"/>
      <c r="F196" s="9" t="n"/>
      <c r="G196" s="8" t="n"/>
      <c r="H196" s="8" t="n"/>
      <c r="I196" s="11">
        <f>IF(A196="","",IFERROR(INDEX(CONEAU_EV_EST,MATCH(A196,CONEAU_EV_ID,0)),""))</f>
        <v/>
      </c>
      <c r="J196" s="11">
        <f>IF(A196="","",IFERROR(INDEX(CONEAU_EV_DESC,MATCH(A196,CONEAU_EV_ID,0)),""))</f>
        <v/>
      </c>
    </row>
    <row r="197">
      <c r="A197" s="8" t="n"/>
      <c r="B197" s="8" t="n"/>
      <c r="C197" s="8" t="n"/>
      <c r="D197" s="8" t="n"/>
      <c r="E197" s="8" t="n"/>
      <c r="F197" s="9" t="n"/>
      <c r="G197" s="8" t="n"/>
      <c r="H197" s="8" t="n"/>
      <c r="I197" s="11">
        <f>IF(A197="","",IFERROR(INDEX(CONEAU_EV_EST,MATCH(A197,CONEAU_EV_ID,0)),""))</f>
        <v/>
      </c>
      <c r="J197" s="11">
        <f>IF(A197="","",IFERROR(INDEX(CONEAU_EV_DESC,MATCH(A197,CONEAU_EV_ID,0)),""))</f>
        <v/>
      </c>
    </row>
    <row r="198">
      <c r="A198" s="8" t="n"/>
      <c r="B198" s="8" t="n"/>
      <c r="C198" s="8" t="n"/>
      <c r="D198" s="8" t="n"/>
      <c r="E198" s="8" t="n"/>
      <c r="F198" s="9" t="n"/>
      <c r="G198" s="8" t="n"/>
      <c r="H198" s="8" t="n"/>
      <c r="I198" s="11">
        <f>IF(A198="","",IFERROR(INDEX(CONEAU_EV_EST,MATCH(A198,CONEAU_EV_ID,0)),""))</f>
        <v/>
      </c>
      <c r="J198" s="11">
        <f>IF(A198="","",IFERROR(INDEX(CONEAU_EV_DESC,MATCH(A198,CONEAU_EV_ID,0)),""))</f>
        <v/>
      </c>
    </row>
    <row r="199">
      <c r="A199" s="8" t="n"/>
      <c r="B199" s="8" t="n"/>
      <c r="C199" s="8" t="n"/>
      <c r="D199" s="8" t="n"/>
      <c r="E199" s="8" t="n"/>
      <c r="F199" s="9" t="n"/>
      <c r="G199" s="8" t="n"/>
      <c r="H199" s="8" t="n"/>
      <c r="I199" s="11">
        <f>IF(A199="","",IFERROR(INDEX(CONEAU_EV_EST,MATCH(A199,CONEAU_EV_ID,0)),""))</f>
        <v/>
      </c>
      <c r="J199" s="11">
        <f>IF(A199="","",IFERROR(INDEX(CONEAU_EV_DESC,MATCH(A199,CONEAU_EV_ID,0)),""))</f>
        <v/>
      </c>
    </row>
    <row r="200">
      <c r="A200" s="8" t="n"/>
      <c r="B200" s="8" t="n"/>
      <c r="C200" s="8" t="n"/>
      <c r="D200" s="8" t="n"/>
      <c r="E200" s="8" t="n"/>
      <c r="F200" s="9" t="n"/>
      <c r="G200" s="8" t="n"/>
      <c r="H200" s="8" t="n"/>
      <c r="I200" s="11">
        <f>IF(A200="","",IFERROR(INDEX(CONEAU_EV_EST,MATCH(A200,CONEAU_EV_ID,0)),""))</f>
        <v/>
      </c>
      <c r="J200" s="11">
        <f>IF(A200="","",IFERROR(INDEX(CONEAU_EV_DESC,MATCH(A200,CONEAU_EV_ID,0)),""))</f>
        <v/>
      </c>
    </row>
    <row r="201">
      <c r="A201" s="8" t="n"/>
      <c r="B201" s="8" t="n"/>
      <c r="C201" s="8" t="n"/>
      <c r="D201" s="8" t="n"/>
      <c r="E201" s="8" t="n"/>
      <c r="F201" s="9" t="n"/>
      <c r="G201" s="8" t="n"/>
      <c r="H201" s="8" t="n"/>
      <c r="I201" s="11">
        <f>IF(A201="","",IFERROR(INDEX(CONEAU_EV_EST,MATCH(A201,CONEAU_EV_ID,0)),""))</f>
        <v/>
      </c>
      <c r="J201" s="11">
        <f>IF(A201="","",IFERROR(INDEX(CONEAU_EV_DESC,MATCH(A201,CONEAU_EV_ID,0)),""))</f>
        <v/>
      </c>
    </row>
    <row r="202">
      <c r="A202" s="8" t="n"/>
      <c r="B202" s="8" t="n"/>
      <c r="C202" s="8" t="n"/>
      <c r="D202" s="8" t="n"/>
      <c r="E202" s="8" t="n"/>
      <c r="F202" s="9" t="n"/>
      <c r="G202" s="8" t="n"/>
      <c r="H202" s="8" t="n"/>
      <c r="I202" s="11">
        <f>IF(A202="","",IFERROR(INDEX(CONEAU_EV_EST,MATCH(A202,CONEAU_EV_ID,0)),""))</f>
        <v/>
      </c>
      <c r="J202" s="11">
        <f>IF(A202="","",IFERROR(INDEX(CONEAU_EV_DESC,MATCH(A202,CONEAU_EV_ID,0)),""))</f>
        <v/>
      </c>
    </row>
    <row r="203">
      <c r="A203" s="8" t="n"/>
      <c r="B203" s="8" t="n"/>
      <c r="C203" s="8" t="n"/>
      <c r="D203" s="8" t="n"/>
      <c r="E203" s="8" t="n"/>
      <c r="F203" s="9" t="n"/>
      <c r="G203" s="8" t="n"/>
      <c r="H203" s="8" t="n"/>
      <c r="I203" s="11">
        <f>IF(A203="","",IFERROR(INDEX(CONEAU_EV_EST,MATCH(A203,CONEAU_EV_ID,0)),""))</f>
        <v/>
      </c>
      <c r="J203" s="11">
        <f>IF(A203="","",IFERROR(INDEX(CONEAU_EV_DESC,MATCH(A203,CONEAU_EV_ID,0)),""))</f>
        <v/>
      </c>
    </row>
    <row r="204">
      <c r="A204" s="8" t="n"/>
      <c r="B204" s="8" t="n"/>
      <c r="C204" s="8" t="n"/>
      <c r="D204" s="8" t="n"/>
      <c r="E204" s="8" t="n"/>
      <c r="F204" s="9" t="n"/>
      <c r="G204" s="8" t="n"/>
      <c r="H204" s="8" t="n"/>
      <c r="I204" s="11">
        <f>IF(A204="","",IFERROR(INDEX(CONEAU_EV_EST,MATCH(A204,CONEAU_EV_ID,0)),""))</f>
        <v/>
      </c>
      <c r="J204" s="11">
        <f>IF(A204="","",IFERROR(INDEX(CONEAU_EV_DESC,MATCH(A204,CONEAU_EV_ID,0)),""))</f>
        <v/>
      </c>
    </row>
    <row r="205">
      <c r="A205" s="8" t="n"/>
      <c r="B205" s="8" t="n"/>
      <c r="C205" s="8" t="n"/>
      <c r="D205" s="8" t="n"/>
      <c r="E205" s="8" t="n"/>
      <c r="F205" s="9" t="n"/>
      <c r="G205" s="8" t="n"/>
      <c r="H205" s="8" t="n"/>
      <c r="I205" s="11">
        <f>IF(A205="","",IFERROR(INDEX(CONEAU_EV_EST,MATCH(A205,CONEAU_EV_ID,0)),""))</f>
        <v/>
      </c>
      <c r="J205" s="11">
        <f>IF(A205="","",IFERROR(INDEX(CONEAU_EV_DESC,MATCH(A205,CONEAU_EV_ID,0)),""))</f>
        <v/>
      </c>
    </row>
    <row r="206">
      <c r="A206" s="8" t="n"/>
      <c r="B206" s="8" t="n"/>
      <c r="C206" s="8" t="n"/>
      <c r="D206" s="8" t="n"/>
      <c r="E206" s="8" t="n"/>
      <c r="F206" s="9" t="n"/>
      <c r="G206" s="8" t="n"/>
      <c r="H206" s="8" t="n"/>
      <c r="I206" s="11">
        <f>IF(A206="","",IFERROR(INDEX(CONEAU_EV_EST,MATCH(A206,CONEAU_EV_ID,0)),""))</f>
        <v/>
      </c>
      <c r="J206" s="11">
        <f>IF(A206="","",IFERROR(INDEX(CONEAU_EV_DESC,MATCH(A206,CONEAU_EV_ID,0)),""))</f>
        <v/>
      </c>
    </row>
    <row r="207">
      <c r="A207" s="8" t="n"/>
      <c r="B207" s="8" t="n"/>
      <c r="C207" s="8" t="n"/>
      <c r="D207" s="8" t="n"/>
      <c r="E207" s="8" t="n"/>
      <c r="F207" s="9" t="n"/>
      <c r="G207" s="8" t="n"/>
      <c r="H207" s="8" t="n"/>
      <c r="I207" s="11">
        <f>IF(A207="","",IFERROR(INDEX(CONEAU_EV_EST,MATCH(A207,CONEAU_EV_ID,0)),""))</f>
        <v/>
      </c>
      <c r="J207" s="11">
        <f>IF(A207="","",IFERROR(INDEX(CONEAU_EV_DESC,MATCH(A207,CONEAU_EV_ID,0)),""))</f>
        <v/>
      </c>
    </row>
    <row r="208">
      <c r="A208" s="8" t="n"/>
      <c r="B208" s="8" t="n"/>
      <c r="C208" s="8" t="n"/>
      <c r="D208" s="8" t="n"/>
      <c r="E208" s="8" t="n"/>
      <c r="F208" s="9" t="n"/>
      <c r="G208" s="8" t="n"/>
      <c r="H208" s="8" t="n"/>
      <c r="I208" s="11">
        <f>IF(A208="","",IFERROR(INDEX(CONEAU_EV_EST,MATCH(A208,CONEAU_EV_ID,0)),""))</f>
        <v/>
      </c>
      <c r="J208" s="11">
        <f>IF(A208="","",IFERROR(INDEX(CONEAU_EV_DESC,MATCH(A208,CONEAU_EV_ID,0)),""))</f>
        <v/>
      </c>
    </row>
    <row r="209">
      <c r="A209" s="8" t="n"/>
      <c r="B209" s="8" t="n"/>
      <c r="C209" s="8" t="n"/>
      <c r="D209" s="8" t="n"/>
      <c r="E209" s="8" t="n"/>
      <c r="F209" s="9" t="n"/>
      <c r="G209" s="8" t="n"/>
      <c r="H209" s="8" t="n"/>
      <c r="I209" s="11">
        <f>IF(A209="","",IFERROR(INDEX(CONEAU_EV_EST,MATCH(A209,CONEAU_EV_ID,0)),""))</f>
        <v/>
      </c>
      <c r="J209" s="11">
        <f>IF(A209="","",IFERROR(INDEX(CONEAU_EV_DESC,MATCH(A209,CONEAU_EV_ID,0)),""))</f>
        <v/>
      </c>
    </row>
    <row r="210">
      <c r="A210" s="8" t="n"/>
      <c r="B210" s="8" t="n"/>
      <c r="C210" s="8" t="n"/>
      <c r="D210" s="8" t="n"/>
      <c r="E210" s="8" t="n"/>
      <c r="F210" s="9" t="n"/>
      <c r="G210" s="8" t="n"/>
      <c r="H210" s="8" t="n"/>
      <c r="I210" s="11">
        <f>IF(A210="","",IFERROR(INDEX(CONEAU_EV_EST,MATCH(A210,CONEAU_EV_ID,0)),""))</f>
        <v/>
      </c>
      <c r="J210" s="11">
        <f>IF(A210="","",IFERROR(INDEX(CONEAU_EV_DESC,MATCH(A210,CONEAU_EV_ID,0)),""))</f>
        <v/>
      </c>
    </row>
    <row r="211">
      <c r="A211" s="8" t="n"/>
      <c r="B211" s="8" t="n"/>
      <c r="C211" s="8" t="n"/>
      <c r="D211" s="8" t="n"/>
      <c r="E211" s="8" t="n"/>
      <c r="F211" s="9" t="n"/>
      <c r="G211" s="8" t="n"/>
      <c r="H211" s="8" t="n"/>
      <c r="I211" s="11">
        <f>IF(A211="","",IFERROR(INDEX(CONEAU_EV_EST,MATCH(A211,CONEAU_EV_ID,0)),""))</f>
        <v/>
      </c>
      <c r="J211" s="11">
        <f>IF(A211="","",IFERROR(INDEX(CONEAU_EV_DESC,MATCH(A211,CONEAU_EV_ID,0)),""))</f>
        <v/>
      </c>
    </row>
    <row r="212">
      <c r="A212" s="8" t="n"/>
      <c r="B212" s="8" t="n"/>
      <c r="C212" s="8" t="n"/>
      <c r="D212" s="8" t="n"/>
      <c r="E212" s="8" t="n"/>
      <c r="F212" s="9" t="n"/>
      <c r="G212" s="8" t="n"/>
      <c r="H212" s="8" t="n"/>
      <c r="I212" s="11">
        <f>IF(A212="","",IFERROR(INDEX(CONEAU_EV_EST,MATCH(A212,CONEAU_EV_ID,0)),""))</f>
        <v/>
      </c>
      <c r="J212" s="11">
        <f>IF(A212="","",IFERROR(INDEX(CONEAU_EV_DESC,MATCH(A212,CONEAU_EV_ID,0)),""))</f>
        <v/>
      </c>
    </row>
    <row r="213">
      <c r="A213" s="8" t="n"/>
      <c r="B213" s="8" t="n"/>
      <c r="C213" s="8" t="n"/>
      <c r="D213" s="8" t="n"/>
      <c r="E213" s="8" t="n"/>
      <c r="F213" s="9" t="n"/>
      <c r="G213" s="8" t="n"/>
      <c r="H213" s="8" t="n"/>
      <c r="I213" s="11">
        <f>IF(A213="","",IFERROR(INDEX(CONEAU_EV_EST,MATCH(A213,CONEAU_EV_ID,0)),""))</f>
        <v/>
      </c>
      <c r="J213" s="11">
        <f>IF(A213="","",IFERROR(INDEX(CONEAU_EV_DESC,MATCH(A213,CONEAU_EV_ID,0)),""))</f>
        <v/>
      </c>
    </row>
    <row r="214">
      <c r="A214" s="8" t="n"/>
      <c r="B214" s="8" t="n"/>
      <c r="C214" s="8" t="n"/>
      <c r="D214" s="8" t="n"/>
      <c r="E214" s="8" t="n"/>
      <c r="F214" s="9" t="n"/>
      <c r="G214" s="8" t="n"/>
      <c r="H214" s="8" t="n"/>
      <c r="I214" s="11">
        <f>IF(A214="","",IFERROR(INDEX(CONEAU_EV_EST,MATCH(A214,CONEAU_EV_ID,0)),""))</f>
        <v/>
      </c>
      <c r="J214" s="11">
        <f>IF(A214="","",IFERROR(INDEX(CONEAU_EV_DESC,MATCH(A214,CONEAU_EV_ID,0)),""))</f>
        <v/>
      </c>
    </row>
    <row r="215">
      <c r="A215" s="8" t="n"/>
      <c r="B215" s="8" t="n"/>
      <c r="C215" s="8" t="n"/>
      <c r="D215" s="8" t="n"/>
      <c r="E215" s="8" t="n"/>
      <c r="F215" s="9" t="n"/>
      <c r="G215" s="8" t="n"/>
      <c r="H215" s="8" t="n"/>
      <c r="I215" s="11">
        <f>IF(A215="","",IFERROR(INDEX(CONEAU_EV_EST,MATCH(A215,CONEAU_EV_ID,0)),""))</f>
        <v/>
      </c>
      <c r="J215" s="11">
        <f>IF(A215="","",IFERROR(INDEX(CONEAU_EV_DESC,MATCH(A215,CONEAU_EV_ID,0)),""))</f>
        <v/>
      </c>
    </row>
    <row r="216">
      <c r="A216" s="8" t="n"/>
      <c r="B216" s="8" t="n"/>
      <c r="C216" s="8" t="n"/>
      <c r="D216" s="8" t="n"/>
      <c r="E216" s="8" t="n"/>
      <c r="F216" s="9" t="n"/>
      <c r="G216" s="8" t="n"/>
      <c r="H216" s="8" t="n"/>
      <c r="I216" s="11">
        <f>IF(A216="","",IFERROR(INDEX(CONEAU_EV_EST,MATCH(A216,CONEAU_EV_ID,0)),""))</f>
        <v/>
      </c>
      <c r="J216" s="11">
        <f>IF(A216="","",IFERROR(INDEX(CONEAU_EV_DESC,MATCH(A216,CONEAU_EV_ID,0)),""))</f>
        <v/>
      </c>
    </row>
    <row r="217">
      <c r="A217" s="8" t="n"/>
      <c r="B217" s="8" t="n"/>
      <c r="C217" s="8" t="n"/>
      <c r="D217" s="8" t="n"/>
      <c r="E217" s="8" t="n"/>
      <c r="F217" s="9" t="n"/>
      <c r="G217" s="8" t="n"/>
      <c r="H217" s="8" t="n"/>
      <c r="I217" s="11">
        <f>IF(A217="","",IFERROR(INDEX(CONEAU_EV_EST,MATCH(A217,CONEAU_EV_ID,0)),""))</f>
        <v/>
      </c>
      <c r="J217" s="11">
        <f>IF(A217="","",IFERROR(INDEX(CONEAU_EV_DESC,MATCH(A217,CONEAU_EV_ID,0)),""))</f>
        <v/>
      </c>
    </row>
    <row r="218">
      <c r="A218" s="8" t="n"/>
      <c r="B218" s="8" t="n"/>
      <c r="C218" s="8" t="n"/>
      <c r="D218" s="8" t="n"/>
      <c r="E218" s="8" t="n"/>
      <c r="F218" s="9" t="n"/>
      <c r="G218" s="8" t="n"/>
      <c r="H218" s="8" t="n"/>
      <c r="I218" s="11">
        <f>IF(A218="","",IFERROR(INDEX(CONEAU_EV_EST,MATCH(A218,CONEAU_EV_ID,0)),""))</f>
        <v/>
      </c>
      <c r="J218" s="11">
        <f>IF(A218="","",IFERROR(INDEX(CONEAU_EV_DESC,MATCH(A218,CONEAU_EV_ID,0)),""))</f>
        <v/>
      </c>
    </row>
    <row r="219">
      <c r="A219" s="8" t="n"/>
      <c r="B219" s="8" t="n"/>
      <c r="C219" s="8" t="n"/>
      <c r="D219" s="8" t="n"/>
      <c r="E219" s="8" t="n"/>
      <c r="F219" s="9" t="n"/>
      <c r="G219" s="8" t="n"/>
      <c r="H219" s="8" t="n"/>
      <c r="I219" s="11">
        <f>IF(A219="","",IFERROR(INDEX(CONEAU_EV_EST,MATCH(A219,CONEAU_EV_ID,0)),""))</f>
        <v/>
      </c>
      <c r="J219" s="11">
        <f>IF(A219="","",IFERROR(INDEX(CONEAU_EV_DESC,MATCH(A219,CONEAU_EV_ID,0)),""))</f>
        <v/>
      </c>
    </row>
    <row r="220">
      <c r="A220" s="8" t="n"/>
      <c r="B220" s="8" t="n"/>
      <c r="C220" s="8" t="n"/>
      <c r="D220" s="8" t="n"/>
      <c r="E220" s="8" t="n"/>
      <c r="F220" s="9" t="n"/>
      <c r="G220" s="8" t="n"/>
      <c r="H220" s="8" t="n"/>
      <c r="I220" s="11">
        <f>IF(A220="","",IFERROR(INDEX(CONEAU_EV_EST,MATCH(A220,CONEAU_EV_ID,0)),""))</f>
        <v/>
      </c>
      <c r="J220" s="11">
        <f>IF(A220="","",IFERROR(INDEX(CONEAU_EV_DESC,MATCH(A220,CONEAU_EV_ID,0)),""))</f>
        <v/>
      </c>
    </row>
    <row r="221">
      <c r="A221" s="8" t="n"/>
      <c r="B221" s="8" t="n"/>
      <c r="C221" s="8" t="n"/>
      <c r="D221" s="8" t="n"/>
      <c r="E221" s="8" t="n"/>
      <c r="F221" s="9" t="n"/>
      <c r="G221" s="8" t="n"/>
      <c r="H221" s="8" t="n"/>
      <c r="I221" s="11">
        <f>IF(A221="","",IFERROR(INDEX(CONEAU_EV_EST,MATCH(A221,CONEAU_EV_ID,0)),""))</f>
        <v/>
      </c>
      <c r="J221" s="11">
        <f>IF(A221="","",IFERROR(INDEX(CONEAU_EV_DESC,MATCH(A221,CONEAU_EV_ID,0)),""))</f>
        <v/>
      </c>
    </row>
    <row r="222">
      <c r="A222" s="8" t="n"/>
      <c r="B222" s="8" t="n"/>
      <c r="C222" s="8" t="n"/>
      <c r="D222" s="8" t="n"/>
      <c r="E222" s="8" t="n"/>
      <c r="F222" s="9" t="n"/>
      <c r="G222" s="8" t="n"/>
      <c r="H222" s="8" t="n"/>
      <c r="I222" s="11">
        <f>IF(A222="","",IFERROR(INDEX(CONEAU_EV_EST,MATCH(A222,CONEAU_EV_ID,0)),""))</f>
        <v/>
      </c>
      <c r="J222" s="11">
        <f>IF(A222="","",IFERROR(INDEX(CONEAU_EV_DESC,MATCH(A222,CONEAU_EV_ID,0)),""))</f>
        <v/>
      </c>
    </row>
    <row r="223">
      <c r="A223" s="8" t="n"/>
      <c r="B223" s="8" t="n"/>
      <c r="C223" s="8" t="n"/>
      <c r="D223" s="8" t="n"/>
      <c r="E223" s="8" t="n"/>
      <c r="F223" s="9" t="n"/>
      <c r="G223" s="8" t="n"/>
      <c r="H223" s="8" t="n"/>
      <c r="I223" s="11">
        <f>IF(A223="","",IFERROR(INDEX(CONEAU_EV_EST,MATCH(A223,CONEAU_EV_ID,0)),""))</f>
        <v/>
      </c>
      <c r="J223" s="11">
        <f>IF(A223="","",IFERROR(INDEX(CONEAU_EV_DESC,MATCH(A223,CONEAU_EV_ID,0)),""))</f>
        <v/>
      </c>
    </row>
    <row r="224">
      <c r="A224" s="8" t="n"/>
      <c r="B224" s="8" t="n"/>
      <c r="C224" s="8" t="n"/>
      <c r="D224" s="8" t="n"/>
      <c r="E224" s="8" t="n"/>
      <c r="F224" s="9" t="n"/>
      <c r="G224" s="8" t="n"/>
      <c r="H224" s="8" t="n"/>
      <c r="I224" s="11">
        <f>IF(A224="","",IFERROR(INDEX(CONEAU_EV_EST,MATCH(A224,CONEAU_EV_ID,0)),""))</f>
        <v/>
      </c>
      <c r="J224" s="11">
        <f>IF(A224="","",IFERROR(INDEX(CONEAU_EV_DESC,MATCH(A224,CONEAU_EV_ID,0)),""))</f>
        <v/>
      </c>
    </row>
    <row r="225">
      <c r="A225" s="8" t="n"/>
      <c r="B225" s="8" t="n"/>
      <c r="C225" s="8" t="n"/>
      <c r="D225" s="8" t="n"/>
      <c r="E225" s="8" t="n"/>
      <c r="F225" s="9" t="n"/>
      <c r="G225" s="8" t="n"/>
      <c r="H225" s="8" t="n"/>
      <c r="I225" s="11">
        <f>IF(A225="","",IFERROR(INDEX(CONEAU_EV_EST,MATCH(A225,CONEAU_EV_ID,0)),""))</f>
        <v/>
      </c>
      <c r="J225" s="11">
        <f>IF(A225="","",IFERROR(INDEX(CONEAU_EV_DESC,MATCH(A225,CONEAU_EV_ID,0)),""))</f>
        <v/>
      </c>
    </row>
    <row r="226">
      <c r="A226" s="8" t="n"/>
      <c r="B226" s="8" t="n"/>
      <c r="C226" s="8" t="n"/>
      <c r="D226" s="8" t="n"/>
      <c r="E226" s="8" t="n"/>
      <c r="F226" s="9" t="n"/>
      <c r="G226" s="8" t="n"/>
      <c r="H226" s="8" t="n"/>
      <c r="I226" s="11">
        <f>IF(A226="","",IFERROR(INDEX(CONEAU_EV_EST,MATCH(A226,CONEAU_EV_ID,0)),""))</f>
        <v/>
      </c>
      <c r="J226" s="11">
        <f>IF(A226="","",IFERROR(INDEX(CONEAU_EV_DESC,MATCH(A226,CONEAU_EV_ID,0)),""))</f>
        <v/>
      </c>
    </row>
    <row r="227">
      <c r="A227" s="8" t="n"/>
      <c r="B227" s="8" t="n"/>
      <c r="C227" s="8" t="n"/>
      <c r="D227" s="8" t="n"/>
      <c r="E227" s="8" t="n"/>
      <c r="F227" s="9" t="n"/>
      <c r="G227" s="8" t="n"/>
      <c r="H227" s="8" t="n"/>
      <c r="I227" s="11">
        <f>IF(A227="","",IFERROR(INDEX(CONEAU_EV_EST,MATCH(A227,CONEAU_EV_ID,0)),""))</f>
        <v/>
      </c>
      <c r="J227" s="11">
        <f>IF(A227="","",IFERROR(INDEX(CONEAU_EV_DESC,MATCH(A227,CONEAU_EV_ID,0)),""))</f>
        <v/>
      </c>
    </row>
    <row r="228">
      <c r="A228" s="8" t="n"/>
      <c r="B228" s="8" t="n"/>
      <c r="C228" s="8" t="n"/>
      <c r="D228" s="8" t="n"/>
      <c r="E228" s="8" t="n"/>
      <c r="F228" s="9" t="n"/>
      <c r="G228" s="8" t="n"/>
      <c r="H228" s="8" t="n"/>
      <c r="I228" s="11">
        <f>IF(A228="","",IFERROR(INDEX(CONEAU_EV_EST,MATCH(A228,CONEAU_EV_ID,0)),""))</f>
        <v/>
      </c>
      <c r="J228" s="11">
        <f>IF(A228="","",IFERROR(INDEX(CONEAU_EV_DESC,MATCH(A228,CONEAU_EV_ID,0)),""))</f>
        <v/>
      </c>
    </row>
    <row r="229">
      <c r="A229" s="8" t="n"/>
      <c r="B229" s="8" t="n"/>
      <c r="C229" s="8" t="n"/>
      <c r="D229" s="8" t="n"/>
      <c r="E229" s="8" t="n"/>
      <c r="F229" s="9" t="n"/>
      <c r="G229" s="8" t="n"/>
      <c r="H229" s="8" t="n"/>
      <c r="I229" s="11">
        <f>IF(A229="","",IFERROR(INDEX(CONEAU_EV_EST,MATCH(A229,CONEAU_EV_ID,0)),""))</f>
        <v/>
      </c>
      <c r="J229" s="11">
        <f>IF(A229="","",IFERROR(INDEX(CONEAU_EV_DESC,MATCH(A229,CONEAU_EV_ID,0)),""))</f>
        <v/>
      </c>
    </row>
    <row r="230">
      <c r="A230" s="8" t="n"/>
      <c r="B230" s="8" t="n"/>
      <c r="C230" s="8" t="n"/>
      <c r="D230" s="8" t="n"/>
      <c r="E230" s="8" t="n"/>
      <c r="F230" s="9" t="n"/>
      <c r="G230" s="8" t="n"/>
      <c r="H230" s="8" t="n"/>
      <c r="I230" s="11">
        <f>IF(A230="","",IFERROR(INDEX(CONEAU_EV_EST,MATCH(A230,CONEAU_EV_ID,0)),""))</f>
        <v/>
      </c>
      <c r="J230" s="11">
        <f>IF(A230="","",IFERROR(INDEX(CONEAU_EV_DESC,MATCH(A230,CONEAU_EV_ID,0)),""))</f>
        <v/>
      </c>
    </row>
    <row r="231">
      <c r="A231" s="8" t="n"/>
      <c r="B231" s="8" t="n"/>
      <c r="C231" s="8" t="n"/>
      <c r="D231" s="8" t="n"/>
      <c r="E231" s="8" t="n"/>
      <c r="F231" s="9" t="n"/>
      <c r="G231" s="8" t="n"/>
      <c r="H231" s="8" t="n"/>
      <c r="I231" s="11">
        <f>IF(A231="","",IFERROR(INDEX(CONEAU_EV_EST,MATCH(A231,CONEAU_EV_ID,0)),""))</f>
        <v/>
      </c>
      <c r="J231" s="11">
        <f>IF(A231="","",IFERROR(INDEX(CONEAU_EV_DESC,MATCH(A231,CONEAU_EV_ID,0)),""))</f>
        <v/>
      </c>
    </row>
    <row r="232">
      <c r="A232" s="8" t="n"/>
      <c r="B232" s="8" t="n"/>
      <c r="C232" s="8" t="n"/>
      <c r="D232" s="8" t="n"/>
      <c r="E232" s="8" t="n"/>
      <c r="F232" s="9" t="n"/>
      <c r="G232" s="8" t="n"/>
      <c r="H232" s="8" t="n"/>
      <c r="I232" s="11">
        <f>IF(A232="","",IFERROR(INDEX(CONEAU_EV_EST,MATCH(A232,CONEAU_EV_ID,0)),""))</f>
        <v/>
      </c>
      <c r="J232" s="11">
        <f>IF(A232="","",IFERROR(INDEX(CONEAU_EV_DESC,MATCH(A232,CONEAU_EV_ID,0)),""))</f>
        <v/>
      </c>
    </row>
    <row r="233">
      <c r="A233" s="8" t="n"/>
      <c r="B233" s="8" t="n"/>
      <c r="C233" s="8" t="n"/>
      <c r="D233" s="8" t="n"/>
      <c r="E233" s="8" t="n"/>
      <c r="F233" s="9" t="n"/>
      <c r="G233" s="8" t="n"/>
      <c r="H233" s="8" t="n"/>
      <c r="I233" s="11">
        <f>IF(A233="","",IFERROR(INDEX(CONEAU_EV_EST,MATCH(A233,CONEAU_EV_ID,0)),""))</f>
        <v/>
      </c>
      <c r="J233" s="11">
        <f>IF(A233="","",IFERROR(INDEX(CONEAU_EV_DESC,MATCH(A233,CONEAU_EV_ID,0)),""))</f>
        <v/>
      </c>
    </row>
    <row r="234">
      <c r="A234" s="8" t="n"/>
      <c r="B234" s="8" t="n"/>
      <c r="C234" s="8" t="n"/>
      <c r="D234" s="8" t="n"/>
      <c r="E234" s="8" t="n"/>
      <c r="F234" s="9" t="n"/>
      <c r="G234" s="8" t="n"/>
      <c r="H234" s="8" t="n"/>
      <c r="I234" s="11">
        <f>IF(A234="","",IFERROR(INDEX(CONEAU_EV_EST,MATCH(A234,CONEAU_EV_ID,0)),""))</f>
        <v/>
      </c>
      <c r="J234" s="11">
        <f>IF(A234="","",IFERROR(INDEX(CONEAU_EV_DESC,MATCH(A234,CONEAU_EV_ID,0)),""))</f>
        <v/>
      </c>
    </row>
    <row r="235">
      <c r="A235" s="8" t="n"/>
      <c r="B235" s="8" t="n"/>
      <c r="C235" s="8" t="n"/>
      <c r="D235" s="8" t="n"/>
      <c r="E235" s="8" t="n"/>
      <c r="F235" s="9" t="n"/>
      <c r="G235" s="8" t="n"/>
      <c r="H235" s="8" t="n"/>
      <c r="I235" s="11">
        <f>IF(A235="","",IFERROR(INDEX(CONEAU_EV_EST,MATCH(A235,CONEAU_EV_ID,0)),""))</f>
        <v/>
      </c>
      <c r="J235" s="11">
        <f>IF(A235="","",IFERROR(INDEX(CONEAU_EV_DESC,MATCH(A235,CONEAU_EV_ID,0)),""))</f>
        <v/>
      </c>
    </row>
    <row r="236">
      <c r="A236" s="8" t="n"/>
      <c r="B236" s="8" t="n"/>
      <c r="C236" s="8" t="n"/>
      <c r="D236" s="8" t="n"/>
      <c r="E236" s="8" t="n"/>
      <c r="F236" s="9" t="n"/>
      <c r="G236" s="8" t="n"/>
      <c r="H236" s="8" t="n"/>
      <c r="I236" s="11">
        <f>IF(A236="","",IFERROR(INDEX(CONEAU_EV_EST,MATCH(A236,CONEAU_EV_ID,0)),""))</f>
        <v/>
      </c>
      <c r="J236" s="11">
        <f>IF(A236="","",IFERROR(INDEX(CONEAU_EV_DESC,MATCH(A236,CONEAU_EV_ID,0)),""))</f>
        <v/>
      </c>
    </row>
    <row r="237">
      <c r="A237" s="8" t="n"/>
      <c r="B237" s="8" t="n"/>
      <c r="C237" s="8" t="n"/>
      <c r="D237" s="8" t="n"/>
      <c r="E237" s="8" t="n"/>
      <c r="F237" s="9" t="n"/>
      <c r="G237" s="8" t="n"/>
      <c r="H237" s="8" t="n"/>
      <c r="I237" s="11">
        <f>IF(A237="","",IFERROR(INDEX(CONEAU_EV_EST,MATCH(A237,CONEAU_EV_ID,0)),""))</f>
        <v/>
      </c>
      <c r="J237" s="11">
        <f>IF(A237="","",IFERROR(INDEX(CONEAU_EV_DESC,MATCH(A237,CONEAU_EV_ID,0)),""))</f>
        <v/>
      </c>
    </row>
    <row r="238">
      <c r="A238" s="8" t="n"/>
      <c r="B238" s="8" t="n"/>
      <c r="C238" s="8" t="n"/>
      <c r="D238" s="8" t="n"/>
      <c r="E238" s="8" t="n"/>
      <c r="F238" s="9" t="n"/>
      <c r="G238" s="8" t="n"/>
      <c r="H238" s="8" t="n"/>
      <c r="I238" s="11">
        <f>IF(A238="","",IFERROR(INDEX(CONEAU_EV_EST,MATCH(A238,CONEAU_EV_ID,0)),""))</f>
        <v/>
      </c>
      <c r="J238" s="11">
        <f>IF(A238="","",IFERROR(INDEX(CONEAU_EV_DESC,MATCH(A238,CONEAU_EV_ID,0)),""))</f>
        <v/>
      </c>
    </row>
    <row r="239">
      <c r="A239" s="8" t="n"/>
      <c r="B239" s="8" t="n"/>
      <c r="C239" s="8" t="n"/>
      <c r="D239" s="8" t="n"/>
      <c r="E239" s="8" t="n"/>
      <c r="F239" s="9" t="n"/>
      <c r="G239" s="8" t="n"/>
      <c r="H239" s="8" t="n"/>
      <c r="I239" s="11">
        <f>IF(A239="","",IFERROR(INDEX(CONEAU_EV_EST,MATCH(A239,CONEAU_EV_ID,0)),""))</f>
        <v/>
      </c>
      <c r="J239" s="11">
        <f>IF(A239="","",IFERROR(INDEX(CONEAU_EV_DESC,MATCH(A239,CONEAU_EV_ID,0)),""))</f>
        <v/>
      </c>
    </row>
    <row r="240">
      <c r="A240" s="8" t="n"/>
      <c r="B240" s="8" t="n"/>
      <c r="C240" s="8" t="n"/>
      <c r="D240" s="8" t="n"/>
      <c r="E240" s="8" t="n"/>
      <c r="F240" s="9" t="n"/>
      <c r="G240" s="8" t="n"/>
      <c r="H240" s="8" t="n"/>
      <c r="I240" s="11">
        <f>IF(A240="","",IFERROR(INDEX(CONEAU_EV_EST,MATCH(A240,CONEAU_EV_ID,0)),""))</f>
        <v/>
      </c>
      <c r="J240" s="11">
        <f>IF(A240="","",IFERROR(INDEX(CONEAU_EV_DESC,MATCH(A240,CONEAU_EV_ID,0)),""))</f>
        <v/>
      </c>
    </row>
    <row r="241">
      <c r="A241" s="8" t="n"/>
      <c r="B241" s="8" t="n"/>
      <c r="C241" s="8" t="n"/>
      <c r="D241" s="8" t="n"/>
      <c r="E241" s="8" t="n"/>
      <c r="F241" s="9" t="n"/>
      <c r="G241" s="8" t="n"/>
      <c r="H241" s="8" t="n"/>
      <c r="I241" s="11">
        <f>IF(A241="","",IFERROR(INDEX(CONEAU_EV_EST,MATCH(A241,CONEAU_EV_ID,0)),""))</f>
        <v/>
      </c>
      <c r="J241" s="11">
        <f>IF(A241="","",IFERROR(INDEX(CONEAU_EV_DESC,MATCH(A241,CONEAU_EV_ID,0)),""))</f>
        <v/>
      </c>
    </row>
    <row r="242">
      <c r="A242" s="8" t="n"/>
      <c r="B242" s="8" t="n"/>
      <c r="C242" s="8" t="n"/>
      <c r="D242" s="8" t="n"/>
      <c r="E242" s="8" t="n"/>
      <c r="F242" s="9" t="n"/>
      <c r="G242" s="8" t="n"/>
      <c r="H242" s="8" t="n"/>
      <c r="I242" s="11">
        <f>IF(A242="","",IFERROR(INDEX(CONEAU_EV_EST,MATCH(A242,CONEAU_EV_ID,0)),""))</f>
        <v/>
      </c>
      <c r="J242" s="11">
        <f>IF(A242="","",IFERROR(INDEX(CONEAU_EV_DESC,MATCH(A242,CONEAU_EV_ID,0)),""))</f>
        <v/>
      </c>
    </row>
    <row r="243">
      <c r="A243" s="8" t="n"/>
      <c r="B243" s="8" t="n"/>
      <c r="C243" s="8" t="n"/>
      <c r="D243" s="8" t="n"/>
      <c r="E243" s="8" t="n"/>
      <c r="F243" s="9" t="n"/>
      <c r="G243" s="8" t="n"/>
      <c r="H243" s="8" t="n"/>
      <c r="I243" s="11">
        <f>IF(A243="","",IFERROR(INDEX(CONEAU_EV_EST,MATCH(A243,CONEAU_EV_ID,0)),""))</f>
        <v/>
      </c>
      <c r="J243" s="11">
        <f>IF(A243="","",IFERROR(INDEX(CONEAU_EV_DESC,MATCH(A243,CONEAU_EV_ID,0)),""))</f>
        <v/>
      </c>
    </row>
    <row r="244">
      <c r="A244" s="8" t="n"/>
      <c r="B244" s="8" t="n"/>
      <c r="C244" s="8" t="n"/>
      <c r="D244" s="8" t="n"/>
      <c r="E244" s="8" t="n"/>
      <c r="F244" s="9" t="n"/>
      <c r="G244" s="8" t="n"/>
      <c r="H244" s="8" t="n"/>
      <c r="I244" s="11">
        <f>IF(A244="","",IFERROR(INDEX(CONEAU_EV_EST,MATCH(A244,CONEAU_EV_ID,0)),""))</f>
        <v/>
      </c>
      <c r="J244" s="11">
        <f>IF(A244="","",IFERROR(INDEX(CONEAU_EV_DESC,MATCH(A244,CONEAU_EV_ID,0)),""))</f>
        <v/>
      </c>
    </row>
    <row r="245">
      <c r="A245" s="8" t="n"/>
      <c r="B245" s="8" t="n"/>
      <c r="C245" s="8" t="n"/>
      <c r="D245" s="8" t="n"/>
      <c r="E245" s="8" t="n"/>
      <c r="F245" s="9" t="n"/>
      <c r="G245" s="8" t="n"/>
      <c r="H245" s="8" t="n"/>
      <c r="I245" s="11">
        <f>IF(A245="","",IFERROR(INDEX(CONEAU_EV_EST,MATCH(A245,CONEAU_EV_ID,0)),""))</f>
        <v/>
      </c>
      <c r="J245" s="11">
        <f>IF(A245="","",IFERROR(INDEX(CONEAU_EV_DESC,MATCH(A245,CONEAU_EV_ID,0)),""))</f>
        <v/>
      </c>
    </row>
    <row r="246">
      <c r="A246" s="8" t="n"/>
      <c r="B246" s="8" t="n"/>
      <c r="C246" s="8" t="n"/>
      <c r="D246" s="8" t="n"/>
      <c r="E246" s="8" t="n"/>
      <c r="F246" s="9" t="n"/>
      <c r="G246" s="8" t="n"/>
      <c r="H246" s="8" t="n"/>
      <c r="I246" s="11">
        <f>IF(A246="","",IFERROR(INDEX(CONEAU_EV_EST,MATCH(A246,CONEAU_EV_ID,0)),""))</f>
        <v/>
      </c>
      <c r="J246" s="11">
        <f>IF(A246="","",IFERROR(INDEX(CONEAU_EV_DESC,MATCH(A246,CONEAU_EV_ID,0)),""))</f>
        <v/>
      </c>
    </row>
    <row r="247">
      <c r="A247" s="8" t="n"/>
      <c r="B247" s="8" t="n"/>
      <c r="C247" s="8" t="n"/>
      <c r="D247" s="8" t="n"/>
      <c r="E247" s="8" t="n"/>
      <c r="F247" s="9" t="n"/>
      <c r="G247" s="8" t="n"/>
      <c r="H247" s="8" t="n"/>
      <c r="I247" s="11">
        <f>IF(A247="","",IFERROR(INDEX(CONEAU_EV_EST,MATCH(A247,CONEAU_EV_ID,0)),""))</f>
        <v/>
      </c>
      <c r="J247" s="11">
        <f>IF(A247="","",IFERROR(INDEX(CONEAU_EV_DESC,MATCH(A247,CONEAU_EV_ID,0)),""))</f>
        <v/>
      </c>
    </row>
    <row r="248">
      <c r="A248" s="8" t="n"/>
      <c r="B248" s="8" t="n"/>
      <c r="C248" s="8" t="n"/>
      <c r="D248" s="8" t="n"/>
      <c r="E248" s="8" t="n"/>
      <c r="F248" s="9" t="n"/>
      <c r="G248" s="8" t="n"/>
      <c r="H248" s="8" t="n"/>
      <c r="I248" s="11">
        <f>IF(A248="","",IFERROR(INDEX(CONEAU_EV_EST,MATCH(A248,CONEAU_EV_ID,0)),""))</f>
        <v/>
      </c>
      <c r="J248" s="11">
        <f>IF(A248="","",IFERROR(INDEX(CONEAU_EV_DESC,MATCH(A248,CONEAU_EV_ID,0)),""))</f>
        <v/>
      </c>
    </row>
    <row r="249">
      <c r="A249" s="8" t="n"/>
      <c r="B249" s="8" t="n"/>
      <c r="C249" s="8" t="n"/>
      <c r="D249" s="8" t="n"/>
      <c r="E249" s="8" t="n"/>
      <c r="F249" s="9" t="n"/>
      <c r="G249" s="8" t="n"/>
      <c r="H249" s="8" t="n"/>
      <c r="I249" s="11">
        <f>IF(A249="","",IFERROR(INDEX(CONEAU_EV_EST,MATCH(A249,CONEAU_EV_ID,0)),""))</f>
        <v/>
      </c>
      <c r="J249" s="11">
        <f>IF(A249="","",IFERROR(INDEX(CONEAU_EV_DESC,MATCH(A249,CONEAU_EV_ID,0)),""))</f>
        <v/>
      </c>
    </row>
    <row r="250">
      <c r="A250" s="8" t="n"/>
      <c r="B250" s="8" t="n"/>
      <c r="C250" s="8" t="n"/>
      <c r="D250" s="8" t="n"/>
      <c r="E250" s="8" t="n"/>
      <c r="F250" s="9" t="n"/>
      <c r="G250" s="8" t="n"/>
      <c r="H250" s="8" t="n"/>
      <c r="I250" s="11">
        <f>IF(A250="","",IFERROR(INDEX(CONEAU_EV_EST,MATCH(A250,CONEAU_EV_ID,0)),""))</f>
        <v/>
      </c>
      <c r="J250" s="11">
        <f>IF(A250="","",IFERROR(INDEX(CONEAU_EV_DESC,MATCH(A250,CONEAU_EV_ID,0)),""))</f>
        <v/>
      </c>
    </row>
    <row r="251">
      <c r="A251" s="8" t="n"/>
      <c r="B251" s="8" t="n"/>
      <c r="C251" s="8" t="n"/>
      <c r="D251" s="8" t="n"/>
      <c r="E251" s="8" t="n"/>
      <c r="F251" s="9" t="n"/>
      <c r="G251" s="8" t="n"/>
      <c r="H251" s="8" t="n"/>
      <c r="I251" s="11">
        <f>IF(A251="","",IFERROR(INDEX(CONEAU_EV_EST,MATCH(A251,CONEAU_EV_ID,0)),""))</f>
        <v/>
      </c>
      <c r="J251" s="11">
        <f>IF(A251="","",IFERROR(INDEX(CONEAU_EV_DESC,MATCH(A251,CONEAU_EV_ID,0)),""))</f>
        <v/>
      </c>
    </row>
    <row r="252">
      <c r="A252" s="8" t="n"/>
      <c r="B252" s="8" t="n"/>
      <c r="C252" s="8" t="n"/>
      <c r="D252" s="8" t="n"/>
      <c r="E252" s="8" t="n"/>
      <c r="F252" s="9" t="n"/>
      <c r="G252" s="8" t="n"/>
      <c r="H252" s="8" t="n"/>
      <c r="I252" s="11">
        <f>IF(A252="","",IFERROR(INDEX(CONEAU_EV_EST,MATCH(A252,CONEAU_EV_ID,0)),""))</f>
        <v/>
      </c>
      <c r="J252" s="11">
        <f>IF(A252="","",IFERROR(INDEX(CONEAU_EV_DESC,MATCH(A252,CONEAU_EV_ID,0)),""))</f>
        <v/>
      </c>
    </row>
    <row r="253">
      <c r="A253" s="8" t="n"/>
      <c r="B253" s="8" t="n"/>
      <c r="C253" s="8" t="n"/>
      <c r="D253" s="8" t="n"/>
      <c r="E253" s="8" t="n"/>
      <c r="F253" s="9" t="n"/>
      <c r="G253" s="8" t="n"/>
      <c r="H253" s="8" t="n"/>
      <c r="I253" s="11">
        <f>IF(A253="","",IFERROR(INDEX(CONEAU_EV_EST,MATCH(A253,CONEAU_EV_ID,0)),""))</f>
        <v/>
      </c>
      <c r="J253" s="11">
        <f>IF(A253="","",IFERROR(INDEX(CONEAU_EV_DESC,MATCH(A253,CONEAU_EV_ID,0)),""))</f>
        <v/>
      </c>
    </row>
    <row r="254">
      <c r="A254" s="8" t="n"/>
      <c r="B254" s="8" t="n"/>
      <c r="C254" s="8" t="n"/>
      <c r="D254" s="8" t="n"/>
      <c r="E254" s="8" t="n"/>
      <c r="F254" s="9" t="n"/>
      <c r="G254" s="8" t="n"/>
      <c r="H254" s="8" t="n"/>
      <c r="I254" s="11">
        <f>IF(A254="","",IFERROR(INDEX(CONEAU_EV_EST,MATCH(A254,CONEAU_EV_ID,0)),""))</f>
        <v/>
      </c>
      <c r="J254" s="11">
        <f>IF(A254="","",IFERROR(INDEX(CONEAU_EV_DESC,MATCH(A254,CONEAU_EV_ID,0)),""))</f>
        <v/>
      </c>
    </row>
    <row r="255">
      <c r="A255" s="8" t="n"/>
      <c r="B255" s="8" t="n"/>
      <c r="C255" s="8" t="n"/>
      <c r="D255" s="8" t="n"/>
      <c r="E255" s="8" t="n"/>
      <c r="F255" s="9" t="n"/>
      <c r="G255" s="8" t="n"/>
      <c r="H255" s="8" t="n"/>
      <c r="I255" s="11">
        <f>IF(A255="","",IFERROR(INDEX(CONEAU_EV_EST,MATCH(A255,CONEAU_EV_ID,0)),""))</f>
        <v/>
      </c>
      <c r="J255" s="11">
        <f>IF(A255="","",IFERROR(INDEX(CONEAU_EV_DESC,MATCH(A255,CONEAU_EV_ID,0)),""))</f>
        <v/>
      </c>
    </row>
    <row r="256">
      <c r="A256" s="8" t="n"/>
      <c r="B256" s="8" t="n"/>
      <c r="C256" s="8" t="n"/>
      <c r="D256" s="8" t="n"/>
      <c r="E256" s="8" t="n"/>
      <c r="F256" s="9" t="n"/>
      <c r="G256" s="8" t="n"/>
      <c r="H256" s="8" t="n"/>
      <c r="I256" s="11">
        <f>IF(A256="","",IFERROR(INDEX(CONEAU_EV_EST,MATCH(A256,CONEAU_EV_ID,0)),""))</f>
        <v/>
      </c>
      <c r="J256" s="11">
        <f>IF(A256="","",IFERROR(INDEX(CONEAU_EV_DESC,MATCH(A256,CONEAU_EV_ID,0)),""))</f>
        <v/>
      </c>
    </row>
    <row r="257">
      <c r="A257" s="8" t="n"/>
      <c r="B257" s="8" t="n"/>
      <c r="C257" s="8" t="n"/>
      <c r="D257" s="8" t="n"/>
      <c r="E257" s="8" t="n"/>
      <c r="F257" s="9" t="n"/>
      <c r="G257" s="8" t="n"/>
      <c r="H257" s="8" t="n"/>
      <c r="I257" s="11">
        <f>IF(A257="","",IFERROR(INDEX(CONEAU_EV_EST,MATCH(A257,CONEAU_EV_ID,0)),""))</f>
        <v/>
      </c>
      <c r="J257" s="11">
        <f>IF(A257="","",IFERROR(INDEX(CONEAU_EV_DESC,MATCH(A257,CONEAU_EV_ID,0)),""))</f>
        <v/>
      </c>
    </row>
    <row r="258">
      <c r="A258" s="8" t="n"/>
      <c r="B258" s="8" t="n"/>
      <c r="C258" s="8" t="n"/>
      <c r="D258" s="8" t="n"/>
      <c r="E258" s="8" t="n"/>
      <c r="F258" s="9" t="n"/>
      <c r="G258" s="8" t="n"/>
      <c r="H258" s="8" t="n"/>
      <c r="I258" s="11">
        <f>IF(A258="","",IFERROR(INDEX(CONEAU_EV_EST,MATCH(A258,CONEAU_EV_ID,0)),""))</f>
        <v/>
      </c>
      <c r="J258" s="11">
        <f>IF(A258="","",IFERROR(INDEX(CONEAU_EV_DESC,MATCH(A258,CONEAU_EV_ID,0)),""))</f>
        <v/>
      </c>
    </row>
    <row r="259">
      <c r="A259" s="8" t="n"/>
      <c r="B259" s="8" t="n"/>
      <c r="C259" s="8" t="n"/>
      <c r="D259" s="8" t="n"/>
      <c r="E259" s="8" t="n"/>
      <c r="F259" s="9" t="n"/>
      <c r="G259" s="8" t="n"/>
      <c r="H259" s="8" t="n"/>
      <c r="I259" s="11">
        <f>IF(A259="","",IFERROR(INDEX(CONEAU_EV_EST,MATCH(A259,CONEAU_EV_ID,0)),""))</f>
        <v/>
      </c>
      <c r="J259" s="11">
        <f>IF(A259="","",IFERROR(INDEX(CONEAU_EV_DESC,MATCH(A259,CONEAU_EV_ID,0)),""))</f>
        <v/>
      </c>
    </row>
    <row r="260">
      <c r="A260" s="8" t="n"/>
      <c r="B260" s="8" t="n"/>
      <c r="C260" s="8" t="n"/>
      <c r="D260" s="8" t="n"/>
      <c r="E260" s="8" t="n"/>
      <c r="F260" s="9" t="n"/>
      <c r="G260" s="8" t="n"/>
      <c r="H260" s="8" t="n"/>
      <c r="I260" s="11">
        <f>IF(A260="","",IFERROR(INDEX(CONEAU_EV_EST,MATCH(A260,CONEAU_EV_ID,0)),""))</f>
        <v/>
      </c>
      <c r="J260" s="11">
        <f>IF(A260="","",IFERROR(INDEX(CONEAU_EV_DESC,MATCH(A260,CONEAU_EV_ID,0)),""))</f>
        <v/>
      </c>
    </row>
    <row r="261">
      <c r="A261" s="8" t="n"/>
      <c r="B261" s="8" t="n"/>
      <c r="C261" s="8" t="n"/>
      <c r="D261" s="8" t="n"/>
      <c r="E261" s="8" t="n"/>
      <c r="F261" s="9" t="n"/>
      <c r="G261" s="8" t="n"/>
      <c r="H261" s="8" t="n"/>
      <c r="I261" s="11">
        <f>IF(A261="","",IFERROR(INDEX(CONEAU_EV_EST,MATCH(A261,CONEAU_EV_ID,0)),""))</f>
        <v/>
      </c>
      <c r="J261" s="11">
        <f>IF(A261="","",IFERROR(INDEX(CONEAU_EV_DESC,MATCH(A261,CONEAU_EV_ID,0)),""))</f>
        <v/>
      </c>
    </row>
    <row r="262">
      <c r="A262" s="8" t="n"/>
      <c r="B262" s="8" t="n"/>
      <c r="C262" s="8" t="n"/>
      <c r="D262" s="8" t="n"/>
      <c r="E262" s="8" t="n"/>
      <c r="F262" s="9" t="n"/>
      <c r="G262" s="8" t="n"/>
      <c r="H262" s="8" t="n"/>
      <c r="I262" s="11">
        <f>IF(A262="","",IFERROR(INDEX(CONEAU_EV_EST,MATCH(A262,CONEAU_EV_ID,0)),""))</f>
        <v/>
      </c>
      <c r="J262" s="11">
        <f>IF(A262="","",IFERROR(INDEX(CONEAU_EV_DESC,MATCH(A262,CONEAU_EV_ID,0)),""))</f>
        <v/>
      </c>
    </row>
    <row r="263">
      <c r="A263" s="8" t="n"/>
      <c r="B263" s="8" t="n"/>
      <c r="C263" s="8" t="n"/>
      <c r="D263" s="8" t="n"/>
      <c r="E263" s="8" t="n"/>
      <c r="F263" s="9" t="n"/>
      <c r="G263" s="8" t="n"/>
      <c r="H263" s="8" t="n"/>
      <c r="I263" s="11">
        <f>IF(A263="","",IFERROR(INDEX(CONEAU_EV_EST,MATCH(A263,CONEAU_EV_ID,0)),""))</f>
        <v/>
      </c>
      <c r="J263" s="11">
        <f>IF(A263="","",IFERROR(INDEX(CONEAU_EV_DESC,MATCH(A263,CONEAU_EV_ID,0)),""))</f>
        <v/>
      </c>
    </row>
    <row r="264">
      <c r="A264" s="8" t="n"/>
      <c r="B264" s="8" t="n"/>
      <c r="C264" s="8" t="n"/>
      <c r="D264" s="8" t="n"/>
      <c r="E264" s="8" t="n"/>
      <c r="F264" s="9" t="n"/>
      <c r="G264" s="8" t="n"/>
      <c r="H264" s="8" t="n"/>
      <c r="I264" s="11">
        <f>IF(A264="","",IFERROR(INDEX(CONEAU_EV_EST,MATCH(A264,CONEAU_EV_ID,0)),""))</f>
        <v/>
      </c>
      <c r="J264" s="11">
        <f>IF(A264="","",IFERROR(INDEX(CONEAU_EV_DESC,MATCH(A264,CONEAU_EV_ID,0)),""))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264"/>
  <dataValidations count="4">
    <dataValidation sqref="A5:A264" showDropDown="0" showInputMessage="0" showErrorMessage="1" allowBlank="1" errorTitle="Valor no válido" error="Elige un valor de la lista." type="list">
      <formula1>=Listas!$C$2:$C$53</formula1>
    </dataValidation>
    <dataValidation sqref="B5:B264" showDropDown="0" showInputMessage="0" showErrorMessage="1" allowBlank="1" errorTitle="Valor no válido" error="Elige un valor de la lista." type="list">
      <formula1>=Listas!$D$2:$D$5</formula1>
    </dataValidation>
    <dataValidation sqref="C5:C264" showDropDown="0" showInputMessage="0" showErrorMessage="1" allowBlank="1" errorTitle="Valor no válido" error="Elige un valor de la lista." promptTitle="Estado de la evidencia" type="list">
      <formula1>=Listas!$I$2:$I$6</formula1>
    </dataValidation>
    <dataValidation sqref="H5:H264" showDropDown="0" showInputMessage="0" showErrorMessage="1" allowBlank="1" errorTitle="Valor no válido" error="Elige un valor de la lista." type="list">
      <formula1>=Listas!$H$2:$H$3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E1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40" customWidth="1" min="4" max="4"/>
    <col width="70" customWidth="1" min="5" max="5"/>
  </cols>
  <sheetData>
    <row r="1">
      <c r="A1" s="1" t="inlineStr">
        <is>
          <t>Alcance: qué indicadores vigila esta escuela</t>
        </is>
      </c>
    </row>
    <row r="2">
      <c r="A2" s="2" t="inlineStr">
        <is>
          <t>Sí: el tablero espera datos y alerta si faltan. No: se deja fuera (fase posterior). Valor inicial según 'alcance_inicial' [CP]: indicadores del piloto, de los 9 procesos del 10.2 y los 29 del modelo.</t>
        </is>
      </c>
    </row>
    <row r="4" ht="32" customHeight="1">
      <c r="A4" s="5" t="inlineStr">
        <is>
          <t>indicador_id</t>
        </is>
      </c>
      <c r="B4" s="5" t="inlineStr">
        <is>
          <t>en_seguimiento</t>
        </is>
      </c>
      <c r="C4" s="5" t="inlineStr">
        <is>
          <t>responsable_local</t>
        </is>
      </c>
      <c r="D4" s="5" t="inlineStr">
        <is>
          <t>nota</t>
        </is>
      </c>
      <c r="E4" s="10" t="inlineStr">
        <is>
          <t>nombre</t>
        </is>
      </c>
    </row>
    <row r="5">
      <c r="A5" s="13" t="inlineStr">
        <is>
          <t>ID1</t>
        </is>
      </c>
      <c r="B5" s="8" t="inlineStr">
        <is>
          <t>Sí</t>
        </is>
      </c>
      <c r="C5" s="8" t="n"/>
      <c r="D5" s="8" t="n"/>
      <c r="E5" s="13">
        <f>IFERROR(INDEX(Catalogo!$C$5:$C$129,MATCH(A5,Catalogo!$A$5:$A$129,0)),"")</f>
        <v/>
      </c>
    </row>
    <row r="6">
      <c r="A6" s="13" t="inlineStr">
        <is>
          <t>ID2</t>
        </is>
      </c>
      <c r="B6" s="8" t="inlineStr">
        <is>
          <t>Sí</t>
        </is>
      </c>
      <c r="C6" s="8" t="n"/>
      <c r="D6" s="8" t="n"/>
      <c r="E6" s="13">
        <f>IFERROR(INDEX(Catalogo!$C$5:$C$129,MATCH(A6,Catalogo!$A$5:$A$129,0)),"")</f>
        <v/>
      </c>
    </row>
    <row r="7">
      <c r="A7" s="13" t="inlineStr">
        <is>
          <t>ID3</t>
        </is>
      </c>
      <c r="B7" s="8" t="inlineStr">
        <is>
          <t>Sí</t>
        </is>
      </c>
      <c r="C7" s="8" t="n"/>
      <c r="D7" s="8" t="n"/>
      <c r="E7" s="13">
        <f>IFERROR(INDEX(Catalogo!$C$5:$C$129,MATCH(A7,Catalogo!$A$5:$A$129,0)),"")</f>
        <v/>
      </c>
    </row>
    <row r="8">
      <c r="A8" s="13" t="inlineStr">
        <is>
          <t>ID4</t>
        </is>
      </c>
      <c r="B8" s="8" t="inlineStr">
        <is>
          <t>Sí</t>
        </is>
      </c>
      <c r="C8" s="8" t="n"/>
      <c r="D8" s="8" t="n"/>
      <c r="E8" s="13">
        <f>IFERROR(INDEX(Catalogo!$C$5:$C$129,MATCH(A8,Catalogo!$A$5:$A$129,0)),"")</f>
        <v/>
      </c>
    </row>
    <row r="9">
      <c r="A9" s="13" t="inlineStr">
        <is>
          <t>ID5</t>
        </is>
      </c>
      <c r="B9" s="8" t="inlineStr">
        <is>
          <t>Sí</t>
        </is>
      </c>
      <c r="C9" s="8" t="n"/>
      <c r="D9" s="8" t="n"/>
      <c r="E9" s="13">
        <f>IFERROR(INDEX(Catalogo!$C$5:$C$129,MATCH(A9,Catalogo!$A$5:$A$129,0)),"")</f>
        <v/>
      </c>
    </row>
    <row r="10">
      <c r="A10" s="13" t="inlineStr">
        <is>
          <t>ID6</t>
        </is>
      </c>
      <c r="B10" s="8" t="inlineStr">
        <is>
          <t>Sí</t>
        </is>
      </c>
      <c r="C10" s="8" t="n"/>
      <c r="D10" s="8" t="n"/>
      <c r="E10" s="13">
        <f>IFERROR(INDEX(Catalogo!$C$5:$C$129,MATCH(A10,Catalogo!$A$5:$A$129,0)),"")</f>
        <v/>
      </c>
    </row>
    <row r="11">
      <c r="A11" s="13" t="inlineStr">
        <is>
          <t>ID7</t>
        </is>
      </c>
      <c r="B11" s="8" t="inlineStr">
        <is>
          <t>Sí</t>
        </is>
      </c>
      <c r="C11" s="8" t="n"/>
      <c r="D11" s="8" t="n"/>
      <c r="E11" s="13">
        <f>IFERROR(INDEX(Catalogo!$C$5:$C$129,MATCH(A11,Catalogo!$A$5:$A$129,0)),"")</f>
        <v/>
      </c>
    </row>
    <row r="12">
      <c r="A12" s="13" t="inlineStr">
        <is>
          <t>ID8</t>
        </is>
      </c>
      <c r="B12" s="8" t="inlineStr">
        <is>
          <t>Sí</t>
        </is>
      </c>
      <c r="C12" s="8" t="n"/>
      <c r="D12" s="8" t="n"/>
      <c r="E12" s="13">
        <f>IFERROR(INDEX(Catalogo!$C$5:$C$129,MATCH(A12,Catalogo!$A$5:$A$129,0)),"")</f>
        <v/>
      </c>
    </row>
    <row r="13">
      <c r="A13" s="13" t="inlineStr">
        <is>
          <t>ID9</t>
        </is>
      </c>
      <c r="B13" s="8" t="inlineStr">
        <is>
          <t>Sí</t>
        </is>
      </c>
      <c r="C13" s="8" t="n"/>
      <c r="D13" s="8" t="n"/>
      <c r="E13" s="13">
        <f>IFERROR(INDEX(Catalogo!$C$5:$C$129,MATCH(A13,Catalogo!$A$5:$A$129,0)),"")</f>
        <v/>
      </c>
    </row>
    <row r="14">
      <c r="A14" s="13" t="inlineStr">
        <is>
          <t>ID10</t>
        </is>
      </c>
      <c r="B14" s="8" t="inlineStr">
        <is>
          <t>Sí</t>
        </is>
      </c>
      <c r="C14" s="8" t="n"/>
      <c r="D14" s="8" t="n"/>
      <c r="E14" s="13">
        <f>IFERROR(INDEX(Catalogo!$C$5:$C$129,MATCH(A14,Catalogo!$A$5:$A$129,0)),"")</f>
        <v/>
      </c>
    </row>
    <row r="15">
      <c r="A15" s="13" t="inlineStr">
        <is>
          <t>ID11</t>
        </is>
      </c>
      <c r="B15" s="8" t="inlineStr">
        <is>
          <t>Sí</t>
        </is>
      </c>
      <c r="C15" s="8" t="n"/>
      <c r="D15" s="8" t="n"/>
      <c r="E15" s="13">
        <f>IFERROR(INDEX(Catalogo!$C$5:$C$129,MATCH(A15,Catalogo!$A$5:$A$129,0)),"")</f>
        <v/>
      </c>
    </row>
    <row r="16">
      <c r="A16" s="13" t="inlineStr">
        <is>
          <t>ID12</t>
        </is>
      </c>
      <c r="B16" s="8" t="inlineStr">
        <is>
          <t>Sí</t>
        </is>
      </c>
      <c r="C16" s="8" t="n"/>
      <c r="D16" s="8" t="n"/>
      <c r="E16" s="13">
        <f>IFERROR(INDEX(Catalogo!$C$5:$C$129,MATCH(A16,Catalogo!$A$5:$A$129,0)),"")</f>
        <v/>
      </c>
    </row>
    <row r="17">
      <c r="A17" s="13" t="inlineStr">
        <is>
          <t>ID13</t>
        </is>
      </c>
      <c r="B17" s="8" t="inlineStr">
        <is>
          <t>Sí</t>
        </is>
      </c>
      <c r="C17" s="8" t="n"/>
      <c r="D17" s="8" t="n"/>
      <c r="E17" s="13">
        <f>IFERROR(INDEX(Catalogo!$C$5:$C$129,MATCH(A17,Catalogo!$A$5:$A$129,0)),"")</f>
        <v/>
      </c>
    </row>
    <row r="18">
      <c r="A18" s="13" t="inlineStr">
        <is>
          <t>ID14</t>
        </is>
      </c>
      <c r="B18" s="8" t="inlineStr">
        <is>
          <t>Sí</t>
        </is>
      </c>
      <c r="C18" s="8" t="n"/>
      <c r="D18" s="8" t="n"/>
      <c r="E18" s="13">
        <f>IFERROR(INDEX(Catalogo!$C$5:$C$129,MATCH(A18,Catalogo!$A$5:$A$129,0)),"")</f>
        <v/>
      </c>
    </row>
    <row r="19">
      <c r="A19" s="13" t="inlineStr">
        <is>
          <t>ID15</t>
        </is>
      </c>
      <c r="B19" s="8" t="inlineStr">
        <is>
          <t>Sí</t>
        </is>
      </c>
      <c r="C19" s="8" t="n"/>
      <c r="D19" s="8" t="n"/>
      <c r="E19" s="13">
        <f>IFERROR(INDEX(Catalogo!$C$5:$C$129,MATCH(A19,Catalogo!$A$5:$A$129,0)),"")</f>
        <v/>
      </c>
    </row>
    <row r="20">
      <c r="A20" s="13" t="inlineStr">
        <is>
          <t>ID16</t>
        </is>
      </c>
      <c r="B20" s="8" t="inlineStr">
        <is>
          <t>Sí</t>
        </is>
      </c>
      <c r="C20" s="8" t="n"/>
      <c r="D20" s="8" t="n"/>
      <c r="E20" s="13">
        <f>IFERROR(INDEX(Catalogo!$C$5:$C$129,MATCH(A20,Catalogo!$A$5:$A$129,0)),"")</f>
        <v/>
      </c>
    </row>
    <row r="21">
      <c r="A21" s="13" t="inlineStr">
        <is>
          <t>ID17</t>
        </is>
      </c>
      <c r="B21" s="8" t="inlineStr">
        <is>
          <t>Sí</t>
        </is>
      </c>
      <c r="C21" s="8" t="n"/>
      <c r="D21" s="8" t="n"/>
      <c r="E21" s="13">
        <f>IFERROR(INDEX(Catalogo!$C$5:$C$129,MATCH(A21,Catalogo!$A$5:$A$129,0)),"")</f>
        <v/>
      </c>
    </row>
    <row r="22">
      <c r="A22" s="13" t="inlineStr">
        <is>
          <t>ID18</t>
        </is>
      </c>
      <c r="B22" s="8" t="inlineStr">
        <is>
          <t>Sí</t>
        </is>
      </c>
      <c r="C22" s="8" t="n"/>
      <c r="D22" s="8" t="n"/>
      <c r="E22" s="13">
        <f>IFERROR(INDEX(Catalogo!$C$5:$C$129,MATCH(A22,Catalogo!$A$5:$A$129,0)),"")</f>
        <v/>
      </c>
    </row>
    <row r="23">
      <c r="A23" s="13" t="inlineStr">
        <is>
          <t>ID19</t>
        </is>
      </c>
      <c r="B23" s="8" t="inlineStr">
        <is>
          <t>Sí</t>
        </is>
      </c>
      <c r="C23" s="8" t="n"/>
      <c r="D23" s="8" t="n"/>
      <c r="E23" s="13">
        <f>IFERROR(INDEX(Catalogo!$C$5:$C$129,MATCH(A23,Catalogo!$A$5:$A$129,0)),"")</f>
        <v/>
      </c>
    </row>
    <row r="24">
      <c r="A24" s="13" t="inlineStr">
        <is>
          <t>ID20</t>
        </is>
      </c>
      <c r="B24" s="8" t="inlineStr">
        <is>
          <t>Sí</t>
        </is>
      </c>
      <c r="C24" s="8" t="n"/>
      <c r="D24" s="8" t="n"/>
      <c r="E24" s="13">
        <f>IFERROR(INDEX(Catalogo!$C$5:$C$129,MATCH(A24,Catalogo!$A$5:$A$129,0)),"")</f>
        <v/>
      </c>
    </row>
    <row r="25">
      <c r="A25" s="13" t="inlineStr">
        <is>
          <t>ID21</t>
        </is>
      </c>
      <c r="B25" s="8" t="inlineStr">
        <is>
          <t>Sí</t>
        </is>
      </c>
      <c r="C25" s="8" t="n"/>
      <c r="D25" s="8" t="n"/>
      <c r="E25" s="13">
        <f>IFERROR(INDEX(Catalogo!$C$5:$C$129,MATCH(A25,Catalogo!$A$5:$A$129,0)),"")</f>
        <v/>
      </c>
    </row>
    <row r="26">
      <c r="A26" s="13" t="inlineStr">
        <is>
          <t>ID22</t>
        </is>
      </c>
      <c r="B26" s="8" t="inlineStr">
        <is>
          <t>Sí</t>
        </is>
      </c>
      <c r="C26" s="8" t="n"/>
      <c r="D26" s="8" t="n"/>
      <c r="E26" s="13">
        <f>IFERROR(INDEX(Catalogo!$C$5:$C$129,MATCH(A26,Catalogo!$A$5:$A$129,0)),"")</f>
        <v/>
      </c>
    </row>
    <row r="27">
      <c r="A27" s="13" t="inlineStr">
        <is>
          <t>ID23</t>
        </is>
      </c>
      <c r="B27" s="8" t="inlineStr">
        <is>
          <t>Sí</t>
        </is>
      </c>
      <c r="C27" s="8" t="n"/>
      <c r="D27" s="8" t="n"/>
      <c r="E27" s="13">
        <f>IFERROR(INDEX(Catalogo!$C$5:$C$129,MATCH(A27,Catalogo!$A$5:$A$129,0)),"")</f>
        <v/>
      </c>
    </row>
    <row r="28">
      <c r="A28" s="13" t="inlineStr">
        <is>
          <t>ID24</t>
        </is>
      </c>
      <c r="B28" s="8" t="inlineStr">
        <is>
          <t>Sí</t>
        </is>
      </c>
      <c r="C28" s="8" t="n"/>
      <c r="D28" s="8" t="n"/>
      <c r="E28" s="13">
        <f>IFERROR(INDEX(Catalogo!$C$5:$C$129,MATCH(A28,Catalogo!$A$5:$A$129,0)),"")</f>
        <v/>
      </c>
    </row>
    <row r="29">
      <c r="A29" s="13" t="inlineStr">
        <is>
          <t>ID25</t>
        </is>
      </c>
      <c r="B29" s="8" t="inlineStr">
        <is>
          <t>Sí</t>
        </is>
      </c>
      <c r="C29" s="8" t="n"/>
      <c r="D29" s="8" t="n"/>
      <c r="E29" s="13">
        <f>IFERROR(INDEX(Catalogo!$C$5:$C$129,MATCH(A29,Catalogo!$A$5:$A$129,0)),"")</f>
        <v/>
      </c>
    </row>
    <row r="30">
      <c r="A30" s="13" t="inlineStr">
        <is>
          <t>ID26</t>
        </is>
      </c>
      <c r="B30" s="8" t="inlineStr">
        <is>
          <t>Sí</t>
        </is>
      </c>
      <c r="C30" s="8" t="n"/>
      <c r="D30" s="8" t="n"/>
      <c r="E30" s="13">
        <f>IFERROR(INDEX(Catalogo!$C$5:$C$129,MATCH(A30,Catalogo!$A$5:$A$129,0)),"")</f>
        <v/>
      </c>
    </row>
    <row r="31">
      <c r="A31" s="13" t="inlineStr">
        <is>
          <t>ID27</t>
        </is>
      </c>
      <c r="B31" s="8" t="inlineStr">
        <is>
          <t>Sí</t>
        </is>
      </c>
      <c r="C31" s="8" t="n"/>
      <c r="D31" s="8" t="n"/>
      <c r="E31" s="13">
        <f>IFERROR(INDEX(Catalogo!$C$5:$C$129,MATCH(A31,Catalogo!$A$5:$A$129,0)),"")</f>
        <v/>
      </c>
    </row>
    <row r="32">
      <c r="A32" s="13" t="inlineStr">
        <is>
          <t>ID28</t>
        </is>
      </c>
      <c r="B32" s="8" t="inlineStr">
        <is>
          <t>Sí</t>
        </is>
      </c>
      <c r="C32" s="8" t="n"/>
      <c r="D32" s="8" t="n"/>
      <c r="E32" s="13">
        <f>IFERROR(INDEX(Catalogo!$C$5:$C$129,MATCH(A32,Catalogo!$A$5:$A$129,0)),"")</f>
        <v/>
      </c>
    </row>
    <row r="33">
      <c r="A33" s="13" t="inlineStr">
        <is>
          <t>ID29</t>
        </is>
      </c>
      <c r="B33" s="8" t="inlineStr">
        <is>
          <t>Sí</t>
        </is>
      </c>
      <c r="C33" s="8" t="n"/>
      <c r="D33" s="8" t="n"/>
      <c r="E33" s="13">
        <f>IFERROR(INDEX(Catalogo!$C$5:$C$129,MATCH(A33,Catalogo!$A$5:$A$129,0)),"")</f>
        <v/>
      </c>
    </row>
    <row r="34">
      <c r="A34" s="13" t="inlineStr">
        <is>
          <t>PS05-I1</t>
        </is>
      </c>
      <c r="B34" s="8" t="inlineStr">
        <is>
          <t>Sí</t>
        </is>
      </c>
      <c r="C34" s="8" t="n"/>
      <c r="D34" s="8" t="n"/>
      <c r="E34" s="13">
        <f>IFERROR(INDEX(Catalogo!$C$5:$C$129,MATCH(A34,Catalogo!$A$5:$A$129,0)),"")</f>
        <v/>
      </c>
    </row>
    <row r="35">
      <c r="A35" s="13" t="inlineStr">
        <is>
          <t>PS05-I2</t>
        </is>
      </c>
      <c r="B35" s="8" t="inlineStr">
        <is>
          <t>Sí</t>
        </is>
      </c>
      <c r="C35" s="8" t="n"/>
      <c r="D35" s="8" t="n"/>
      <c r="E35" s="13">
        <f>IFERROR(INDEX(Catalogo!$C$5:$C$129,MATCH(A35,Catalogo!$A$5:$A$129,0)),"")</f>
        <v/>
      </c>
    </row>
    <row r="36">
      <c r="A36" s="13" t="inlineStr">
        <is>
          <t>PS05-I3</t>
        </is>
      </c>
      <c r="B36" s="8" t="inlineStr">
        <is>
          <t>Sí</t>
        </is>
      </c>
      <c r="C36" s="8" t="n"/>
      <c r="D36" s="8" t="n"/>
      <c r="E36" s="13">
        <f>IFERROR(INDEX(Catalogo!$C$5:$C$129,MATCH(A36,Catalogo!$A$5:$A$129,0)),"")</f>
        <v/>
      </c>
    </row>
    <row r="37">
      <c r="A37" s="13" t="inlineStr">
        <is>
          <t>PS05-I4</t>
        </is>
      </c>
      <c r="B37" s="8" t="inlineStr">
        <is>
          <t>Sí</t>
        </is>
      </c>
      <c r="C37" s="8" t="n"/>
      <c r="D37" s="8" t="n"/>
      <c r="E37" s="13">
        <f>IFERROR(INDEX(Catalogo!$C$5:$C$129,MATCH(A37,Catalogo!$A$5:$A$129,0)),"")</f>
        <v/>
      </c>
    </row>
    <row r="38">
      <c r="A38" s="13" t="inlineStr">
        <is>
          <t>ME05-I1</t>
        </is>
      </c>
      <c r="B38" s="8" t="inlineStr">
        <is>
          <t>Sí</t>
        </is>
      </c>
      <c r="C38" s="8" t="n"/>
      <c r="D38" s="8" t="n"/>
      <c r="E38" s="13">
        <f>IFERROR(INDEX(Catalogo!$C$5:$C$129,MATCH(A38,Catalogo!$A$5:$A$129,0)),"")</f>
        <v/>
      </c>
    </row>
    <row r="39">
      <c r="A39" s="13" t="inlineStr">
        <is>
          <t>ME05-I2</t>
        </is>
      </c>
      <c r="B39" s="8" t="inlineStr">
        <is>
          <t>Sí</t>
        </is>
      </c>
      <c r="C39" s="8" t="n"/>
      <c r="D39" s="8" t="n"/>
      <c r="E39" s="13">
        <f>IFERROR(INDEX(Catalogo!$C$5:$C$129,MATCH(A39,Catalogo!$A$5:$A$129,0)),"")</f>
        <v/>
      </c>
    </row>
    <row r="40">
      <c r="A40" s="13" t="inlineStr">
        <is>
          <t>ME05-I3</t>
        </is>
      </c>
      <c r="B40" s="8" t="inlineStr">
        <is>
          <t>Sí</t>
        </is>
      </c>
      <c r="C40" s="8" t="n"/>
      <c r="D40" s="8" t="n"/>
      <c r="E40" s="13">
        <f>IFERROR(INDEX(Catalogo!$C$5:$C$129,MATCH(A40,Catalogo!$A$5:$A$129,0)),"")</f>
        <v/>
      </c>
    </row>
    <row r="41">
      <c r="A41" s="13" t="inlineStr">
        <is>
          <t>ME05-I4</t>
        </is>
      </c>
      <c r="B41" s="8" t="inlineStr">
        <is>
          <t>Sí</t>
        </is>
      </c>
      <c r="C41" s="8" t="n"/>
      <c r="D41" s="8" t="n"/>
      <c r="E41" s="13">
        <f>IFERROR(INDEX(Catalogo!$C$5:$C$129,MATCH(A41,Catalogo!$A$5:$A$129,0)),"")</f>
        <v/>
      </c>
    </row>
    <row r="42">
      <c r="A42" s="13" t="inlineStr">
        <is>
          <t>ME04-I1</t>
        </is>
      </c>
      <c r="B42" s="8" t="inlineStr">
        <is>
          <t>Sí</t>
        </is>
      </c>
      <c r="C42" s="8" t="n"/>
      <c r="D42" s="8" t="n"/>
      <c r="E42" s="13">
        <f>IFERROR(INDEX(Catalogo!$C$5:$C$129,MATCH(A42,Catalogo!$A$5:$A$129,0)),"")</f>
        <v/>
      </c>
    </row>
    <row r="43">
      <c r="A43" s="13" t="inlineStr">
        <is>
          <t>ME04-I2</t>
        </is>
      </c>
      <c r="B43" s="8" t="inlineStr">
        <is>
          <t>Sí</t>
        </is>
      </c>
      <c r="C43" s="8" t="n"/>
      <c r="D43" s="8" t="n"/>
      <c r="E43" s="13">
        <f>IFERROR(INDEX(Catalogo!$C$5:$C$129,MATCH(A43,Catalogo!$A$5:$A$129,0)),"")</f>
        <v/>
      </c>
    </row>
    <row r="44">
      <c r="A44" s="13" t="inlineStr">
        <is>
          <t>ME04-I3</t>
        </is>
      </c>
      <c r="B44" s="8" t="inlineStr">
        <is>
          <t>Sí</t>
        </is>
      </c>
      <c r="C44" s="8" t="n"/>
      <c r="D44" s="8" t="n"/>
      <c r="E44" s="13">
        <f>IFERROR(INDEX(Catalogo!$C$5:$C$129,MATCH(A44,Catalogo!$A$5:$A$129,0)),"")</f>
        <v/>
      </c>
    </row>
    <row r="45">
      <c r="A45" s="13" t="inlineStr">
        <is>
          <t>ME04-I4</t>
        </is>
      </c>
      <c r="B45" s="8" t="inlineStr">
        <is>
          <t>Sí</t>
        </is>
      </c>
      <c r="C45" s="8" t="n"/>
      <c r="D45" s="8" t="n"/>
      <c r="E45" s="13">
        <f>IFERROR(INDEX(Catalogo!$C$5:$C$129,MATCH(A45,Catalogo!$A$5:$A$129,0)),"")</f>
        <v/>
      </c>
    </row>
    <row r="46">
      <c r="A46" s="13" t="inlineStr">
        <is>
          <t>PE02-I1</t>
        </is>
      </c>
      <c r="B46" s="8" t="inlineStr">
        <is>
          <t>Sí</t>
        </is>
      </c>
      <c r="C46" s="8" t="n"/>
      <c r="D46" s="8" t="n"/>
      <c r="E46" s="13">
        <f>IFERROR(INDEX(Catalogo!$C$5:$C$129,MATCH(A46,Catalogo!$A$5:$A$129,0)),"")</f>
        <v/>
      </c>
    </row>
    <row r="47">
      <c r="A47" s="13" t="inlineStr">
        <is>
          <t>PE02-I2</t>
        </is>
      </c>
      <c r="B47" s="8" t="inlineStr">
        <is>
          <t>Sí</t>
        </is>
      </c>
      <c r="C47" s="8" t="n"/>
      <c r="D47" s="8" t="n"/>
      <c r="E47" s="13">
        <f>IFERROR(INDEX(Catalogo!$C$5:$C$129,MATCH(A47,Catalogo!$A$5:$A$129,0)),"")</f>
        <v/>
      </c>
    </row>
    <row r="48">
      <c r="A48" s="13" t="inlineStr">
        <is>
          <t>PE02-I3</t>
        </is>
      </c>
      <c r="B48" s="8" t="inlineStr">
        <is>
          <t>Sí</t>
        </is>
      </c>
      <c r="C48" s="8" t="n"/>
      <c r="D48" s="8" t="n"/>
      <c r="E48" s="13">
        <f>IFERROR(INDEX(Catalogo!$C$5:$C$129,MATCH(A48,Catalogo!$A$5:$A$129,0)),"")</f>
        <v/>
      </c>
    </row>
    <row r="49">
      <c r="A49" s="13" t="inlineStr">
        <is>
          <t>PE02-I4</t>
        </is>
      </c>
      <c r="B49" s="8" t="inlineStr">
        <is>
          <t>Sí</t>
        </is>
      </c>
      <c r="C49" s="8" t="n"/>
      <c r="D49" s="8" t="n"/>
      <c r="E49" s="13">
        <f>IFERROR(INDEX(Catalogo!$C$5:$C$129,MATCH(A49,Catalogo!$A$5:$A$129,0)),"")</f>
        <v/>
      </c>
    </row>
    <row r="50">
      <c r="A50" s="13" t="inlineStr">
        <is>
          <t>PE01-I1</t>
        </is>
      </c>
      <c r="B50" s="8" t="inlineStr">
        <is>
          <t>Sí</t>
        </is>
      </c>
      <c r="C50" s="8" t="n"/>
      <c r="D50" s="8" t="n"/>
      <c r="E50" s="13">
        <f>IFERROR(INDEX(Catalogo!$C$5:$C$129,MATCH(A50,Catalogo!$A$5:$A$129,0)),"")</f>
        <v/>
      </c>
    </row>
    <row r="51">
      <c r="A51" s="13" t="inlineStr">
        <is>
          <t>PE01-I2</t>
        </is>
      </c>
      <c r="B51" s="8" t="inlineStr">
        <is>
          <t>Sí</t>
        </is>
      </c>
      <c r="C51" s="8" t="n"/>
      <c r="D51" s="8" t="n"/>
      <c r="E51" s="13">
        <f>IFERROR(INDEX(Catalogo!$C$5:$C$129,MATCH(A51,Catalogo!$A$5:$A$129,0)),"")</f>
        <v/>
      </c>
    </row>
    <row r="52">
      <c r="A52" s="13" t="inlineStr">
        <is>
          <t>PE01-I3</t>
        </is>
      </c>
      <c r="B52" s="8" t="inlineStr">
        <is>
          <t>Solo Facultad</t>
        </is>
      </c>
      <c r="C52" s="8" t="n"/>
      <c r="D52" s="8" t="n"/>
      <c r="E52" s="13">
        <f>IFERROR(INDEX(Catalogo!$C$5:$C$129,MATCH(A52,Catalogo!$A$5:$A$129,0)),"")</f>
        <v/>
      </c>
    </row>
    <row r="53">
      <c r="A53" s="13" t="inlineStr">
        <is>
          <t>PE03-I1</t>
        </is>
      </c>
      <c r="B53" s="8" t="inlineStr">
        <is>
          <t>Sí</t>
        </is>
      </c>
      <c r="C53" s="8" t="n"/>
      <c r="D53" s="8" t="n"/>
      <c r="E53" s="13">
        <f>IFERROR(INDEX(Catalogo!$C$5:$C$129,MATCH(A53,Catalogo!$A$5:$A$129,0)),"")</f>
        <v/>
      </c>
    </row>
    <row r="54">
      <c r="A54" s="13" t="inlineStr">
        <is>
          <t>PE03-I2</t>
        </is>
      </c>
      <c r="B54" s="8" t="inlineStr">
        <is>
          <t>Sí</t>
        </is>
      </c>
      <c r="C54" s="8" t="n"/>
      <c r="D54" s="8" t="n"/>
      <c r="E54" s="13">
        <f>IFERROR(INDEX(Catalogo!$C$5:$C$129,MATCH(A54,Catalogo!$A$5:$A$129,0)),"")</f>
        <v/>
      </c>
    </row>
    <row r="55">
      <c r="A55" s="13" t="inlineStr">
        <is>
          <t>PE03-I3</t>
        </is>
      </c>
      <c r="B55" s="8" t="inlineStr">
        <is>
          <t>Sí</t>
        </is>
      </c>
      <c r="C55" s="8" t="n"/>
      <c r="D55" s="8" t="n"/>
      <c r="E55" s="13">
        <f>IFERROR(INDEX(Catalogo!$C$5:$C$129,MATCH(A55,Catalogo!$A$5:$A$129,0)),"")</f>
        <v/>
      </c>
    </row>
    <row r="56">
      <c r="A56" s="13" t="inlineStr">
        <is>
          <t>PE04-I1</t>
        </is>
      </c>
      <c r="B56" s="8" t="inlineStr">
        <is>
          <t>Sí</t>
        </is>
      </c>
      <c r="C56" s="8" t="n"/>
      <c r="D56" s="8" t="n"/>
      <c r="E56" s="13">
        <f>IFERROR(INDEX(Catalogo!$C$5:$C$129,MATCH(A56,Catalogo!$A$5:$A$129,0)),"")</f>
        <v/>
      </c>
    </row>
    <row r="57">
      <c r="A57" s="13" t="inlineStr">
        <is>
          <t>PE04-I2</t>
        </is>
      </c>
      <c r="B57" s="8" t="inlineStr">
        <is>
          <t>Sí</t>
        </is>
      </c>
      <c r="C57" s="8" t="n"/>
      <c r="D57" s="8" t="n"/>
      <c r="E57" s="13">
        <f>IFERROR(INDEX(Catalogo!$C$5:$C$129,MATCH(A57,Catalogo!$A$5:$A$129,0)),"")</f>
        <v/>
      </c>
    </row>
    <row r="58">
      <c r="A58" s="13" t="inlineStr">
        <is>
          <t>PE04-I3</t>
        </is>
      </c>
      <c r="B58" s="8" t="inlineStr">
        <is>
          <t>Sí</t>
        </is>
      </c>
      <c r="C58" s="8" t="n"/>
      <c r="D58" s="8" t="n"/>
      <c r="E58" s="13">
        <f>IFERROR(INDEX(Catalogo!$C$5:$C$129,MATCH(A58,Catalogo!$A$5:$A$129,0)),"")</f>
        <v/>
      </c>
    </row>
    <row r="59">
      <c r="A59" s="13" t="inlineStr">
        <is>
          <t>PM01-I3</t>
        </is>
      </c>
      <c r="B59" s="8" t="inlineStr">
        <is>
          <t>Sí</t>
        </is>
      </c>
      <c r="C59" s="8" t="n"/>
      <c r="D59" s="8" t="n"/>
      <c r="E59" s="13">
        <f>IFERROR(INDEX(Catalogo!$C$5:$C$129,MATCH(A59,Catalogo!$A$5:$A$129,0)),"")</f>
        <v/>
      </c>
    </row>
    <row r="60">
      <c r="A60" s="13" t="inlineStr">
        <is>
          <t>PM02-I2</t>
        </is>
      </c>
      <c r="B60" s="8" t="inlineStr">
        <is>
          <t>No</t>
        </is>
      </c>
      <c r="C60" s="8" t="n"/>
      <c r="D60" s="8" t="n"/>
      <c r="E60" s="13">
        <f>IFERROR(INDEX(Catalogo!$C$5:$C$129,MATCH(A60,Catalogo!$A$5:$A$129,0)),"")</f>
        <v/>
      </c>
    </row>
    <row r="61">
      <c r="A61" s="13" t="inlineStr">
        <is>
          <t>PM02-I3</t>
        </is>
      </c>
      <c r="B61" s="8" t="inlineStr">
        <is>
          <t>No</t>
        </is>
      </c>
      <c r="C61" s="8" t="n"/>
      <c r="D61" s="8" t="n"/>
      <c r="E61" s="13">
        <f>IFERROR(INDEX(Catalogo!$C$5:$C$129,MATCH(A61,Catalogo!$A$5:$A$129,0)),"")</f>
        <v/>
      </c>
    </row>
    <row r="62">
      <c r="A62" s="13" t="inlineStr">
        <is>
          <t>PM03-I4</t>
        </is>
      </c>
      <c r="B62" s="8" t="inlineStr">
        <is>
          <t>Sí</t>
        </is>
      </c>
      <c r="C62" s="8" t="n"/>
      <c r="D62" s="8" t="n"/>
      <c r="E62" s="13">
        <f>IFERROR(INDEX(Catalogo!$C$5:$C$129,MATCH(A62,Catalogo!$A$5:$A$129,0)),"")</f>
        <v/>
      </c>
    </row>
    <row r="63">
      <c r="A63" s="13" t="inlineStr">
        <is>
          <t>PM04-I1</t>
        </is>
      </c>
      <c r="B63" s="8" t="inlineStr">
        <is>
          <t>Sí</t>
        </is>
      </c>
      <c r="C63" s="8" t="n"/>
      <c r="D63" s="8" t="n"/>
      <c r="E63" s="13">
        <f>IFERROR(INDEX(Catalogo!$C$5:$C$129,MATCH(A63,Catalogo!$A$5:$A$129,0)),"")</f>
        <v/>
      </c>
    </row>
    <row r="64">
      <c r="A64" s="13" t="inlineStr">
        <is>
          <t>PM04-I2</t>
        </is>
      </c>
      <c r="B64" s="8" t="inlineStr">
        <is>
          <t>Sí</t>
        </is>
      </c>
      <c r="C64" s="8" t="n"/>
      <c r="D64" s="8" t="n"/>
      <c r="E64" s="13">
        <f>IFERROR(INDEX(Catalogo!$C$5:$C$129,MATCH(A64,Catalogo!$A$5:$A$129,0)),"")</f>
        <v/>
      </c>
    </row>
    <row r="65">
      <c r="A65" s="13" t="inlineStr">
        <is>
          <t>PM04-I3</t>
        </is>
      </c>
      <c r="B65" s="8" t="inlineStr">
        <is>
          <t>Sí</t>
        </is>
      </c>
      <c r="C65" s="8" t="n"/>
      <c r="D65" s="8" t="n"/>
      <c r="E65" s="13">
        <f>IFERROR(INDEX(Catalogo!$C$5:$C$129,MATCH(A65,Catalogo!$A$5:$A$129,0)),"")</f>
        <v/>
      </c>
    </row>
    <row r="66">
      <c r="A66" s="13" t="inlineStr">
        <is>
          <t>PM04-I4</t>
        </is>
      </c>
      <c r="B66" s="8" t="inlineStr">
        <is>
          <t>Sí</t>
        </is>
      </c>
      <c r="C66" s="8" t="n"/>
      <c r="D66" s="8" t="n"/>
      <c r="E66" s="13">
        <f>IFERROR(INDEX(Catalogo!$C$5:$C$129,MATCH(A66,Catalogo!$A$5:$A$129,0)),"")</f>
        <v/>
      </c>
    </row>
    <row r="67">
      <c r="A67" s="13" t="inlineStr">
        <is>
          <t>PM05-I3</t>
        </is>
      </c>
      <c r="B67" s="8" t="inlineStr">
        <is>
          <t>Sí</t>
        </is>
      </c>
      <c r="C67" s="8" t="n"/>
      <c r="D67" s="8" t="n"/>
      <c r="E67" s="13">
        <f>IFERROR(INDEX(Catalogo!$C$5:$C$129,MATCH(A67,Catalogo!$A$5:$A$129,0)),"")</f>
        <v/>
      </c>
    </row>
    <row r="68">
      <c r="A68" s="13" t="inlineStr">
        <is>
          <t>PM05-I4</t>
        </is>
      </c>
      <c r="B68" s="8" t="inlineStr">
        <is>
          <t>Sí</t>
        </is>
      </c>
      <c r="C68" s="8" t="n"/>
      <c r="D68" s="8" t="n"/>
      <c r="E68" s="13">
        <f>IFERROR(INDEX(Catalogo!$C$5:$C$129,MATCH(A68,Catalogo!$A$5:$A$129,0)),"")</f>
        <v/>
      </c>
    </row>
    <row r="69">
      <c r="A69" s="13" t="inlineStr">
        <is>
          <t>PM06-I1</t>
        </is>
      </c>
      <c r="B69" s="8" t="inlineStr">
        <is>
          <t>No</t>
        </is>
      </c>
      <c r="C69" s="8" t="n"/>
      <c r="D69" s="8" t="n"/>
      <c r="E69" s="13">
        <f>IFERROR(INDEX(Catalogo!$C$5:$C$129,MATCH(A69,Catalogo!$A$5:$A$129,0)),"")</f>
        <v/>
      </c>
    </row>
    <row r="70">
      <c r="A70" s="13" t="inlineStr">
        <is>
          <t>PM06-I2</t>
        </is>
      </c>
      <c r="B70" s="8" t="inlineStr">
        <is>
          <t>No</t>
        </is>
      </c>
      <c r="C70" s="8" t="n"/>
      <c r="D70" s="8" t="n"/>
      <c r="E70" s="13">
        <f>IFERROR(INDEX(Catalogo!$C$5:$C$129,MATCH(A70,Catalogo!$A$5:$A$129,0)),"")</f>
        <v/>
      </c>
    </row>
    <row r="71">
      <c r="A71" s="13" t="inlineStr">
        <is>
          <t>PM06-I3</t>
        </is>
      </c>
      <c r="B71" s="8" t="inlineStr">
        <is>
          <t>No</t>
        </is>
      </c>
      <c r="C71" s="8" t="n"/>
      <c r="D71" s="8" t="n"/>
      <c r="E71" s="13">
        <f>IFERROR(INDEX(Catalogo!$C$5:$C$129,MATCH(A71,Catalogo!$A$5:$A$129,0)),"")</f>
        <v/>
      </c>
    </row>
    <row r="72">
      <c r="A72" s="13" t="inlineStr">
        <is>
          <t>PM07-I1</t>
        </is>
      </c>
      <c r="B72" s="8" t="inlineStr">
        <is>
          <t>No</t>
        </is>
      </c>
      <c r="C72" s="8" t="n"/>
      <c r="D72" s="8" t="n"/>
      <c r="E72" s="13">
        <f>IFERROR(INDEX(Catalogo!$C$5:$C$129,MATCH(A72,Catalogo!$A$5:$A$129,0)),"")</f>
        <v/>
      </c>
    </row>
    <row r="73">
      <c r="A73" s="13" t="inlineStr">
        <is>
          <t>PM07-I2</t>
        </is>
      </c>
      <c r="B73" s="8" t="inlineStr">
        <is>
          <t>No</t>
        </is>
      </c>
      <c r="C73" s="8" t="n"/>
      <c r="D73" s="8" t="n"/>
      <c r="E73" s="13">
        <f>IFERROR(INDEX(Catalogo!$C$5:$C$129,MATCH(A73,Catalogo!$A$5:$A$129,0)),"")</f>
        <v/>
      </c>
    </row>
    <row r="74">
      <c r="A74" s="13" t="inlineStr">
        <is>
          <t>PM07-I3</t>
        </is>
      </c>
      <c r="B74" s="8" t="inlineStr">
        <is>
          <t>No</t>
        </is>
      </c>
      <c r="C74" s="8" t="n"/>
      <c r="D74" s="8" t="n"/>
      <c r="E74" s="13">
        <f>IFERROR(INDEX(Catalogo!$C$5:$C$129,MATCH(A74,Catalogo!$A$5:$A$129,0)),"")</f>
        <v/>
      </c>
    </row>
    <row r="75">
      <c r="A75" s="13" t="inlineStr">
        <is>
          <t>ME01-I1</t>
        </is>
      </c>
      <c r="B75" s="8" t="inlineStr">
        <is>
          <t>Sí</t>
        </is>
      </c>
      <c r="C75" s="8" t="n"/>
      <c r="D75" s="8" t="n"/>
      <c r="E75" s="13">
        <f>IFERROR(INDEX(Catalogo!$C$5:$C$129,MATCH(A75,Catalogo!$A$5:$A$129,0)),"")</f>
        <v/>
      </c>
    </row>
    <row r="76">
      <c r="A76" s="13" t="inlineStr">
        <is>
          <t>ME01-I2</t>
        </is>
      </c>
      <c r="B76" s="8" t="inlineStr">
        <is>
          <t>Sí</t>
        </is>
      </c>
      <c r="C76" s="8" t="n"/>
      <c r="D76" s="8" t="n"/>
      <c r="E76" s="13">
        <f>IFERROR(INDEX(Catalogo!$C$5:$C$129,MATCH(A76,Catalogo!$A$5:$A$129,0)),"")</f>
        <v/>
      </c>
    </row>
    <row r="77">
      <c r="A77" s="13" t="inlineStr">
        <is>
          <t>ME01-I3</t>
        </is>
      </c>
      <c r="B77" s="8" t="inlineStr">
        <is>
          <t>Sí</t>
        </is>
      </c>
      <c r="C77" s="8" t="n"/>
      <c r="D77" s="8" t="n"/>
      <c r="E77" s="13">
        <f>IFERROR(INDEX(Catalogo!$C$5:$C$129,MATCH(A77,Catalogo!$A$5:$A$129,0)),"")</f>
        <v/>
      </c>
    </row>
    <row r="78">
      <c r="A78" s="13" t="inlineStr">
        <is>
          <t>ME02-I1</t>
        </is>
      </c>
      <c r="B78" s="8" t="inlineStr">
        <is>
          <t>Sí</t>
        </is>
      </c>
      <c r="C78" s="8" t="n"/>
      <c r="D78" s="8" t="n"/>
      <c r="E78" s="13">
        <f>IFERROR(INDEX(Catalogo!$C$5:$C$129,MATCH(A78,Catalogo!$A$5:$A$129,0)),"")</f>
        <v/>
      </c>
    </row>
    <row r="79">
      <c r="A79" s="13" t="inlineStr">
        <is>
          <t>ME02-I3</t>
        </is>
      </c>
      <c r="B79" s="8" t="inlineStr">
        <is>
          <t>Sí</t>
        </is>
      </c>
      <c r="C79" s="8" t="n"/>
      <c r="D79" s="8" t="n"/>
      <c r="E79" s="13">
        <f>IFERROR(INDEX(Catalogo!$C$5:$C$129,MATCH(A79,Catalogo!$A$5:$A$129,0)),"")</f>
        <v/>
      </c>
    </row>
    <row r="80">
      <c r="A80" s="13" t="inlineStr">
        <is>
          <t>ME03-I1</t>
        </is>
      </c>
      <c r="B80" s="8" t="inlineStr">
        <is>
          <t>Sí</t>
        </is>
      </c>
      <c r="C80" s="8" t="n"/>
      <c r="D80" s="8" t="n"/>
      <c r="E80" s="13">
        <f>IFERROR(INDEX(Catalogo!$C$5:$C$129,MATCH(A80,Catalogo!$A$5:$A$129,0)),"")</f>
        <v/>
      </c>
    </row>
    <row r="81">
      <c r="A81" s="13" t="inlineStr">
        <is>
          <t>ME03-I2</t>
        </is>
      </c>
      <c r="B81" s="8" t="inlineStr">
        <is>
          <t>Sí</t>
        </is>
      </c>
      <c r="C81" s="8" t="n"/>
      <c r="D81" s="8" t="n"/>
      <c r="E81" s="13">
        <f>IFERROR(INDEX(Catalogo!$C$5:$C$129,MATCH(A81,Catalogo!$A$5:$A$129,0)),"")</f>
        <v/>
      </c>
    </row>
    <row r="82">
      <c r="A82" s="13" t="inlineStr">
        <is>
          <t>ME03-I3</t>
        </is>
      </c>
      <c r="B82" s="8" t="inlineStr">
        <is>
          <t>Sí</t>
        </is>
      </c>
      <c r="C82" s="8" t="n"/>
      <c r="D82" s="8" t="n"/>
      <c r="E82" s="13">
        <f>IFERROR(INDEX(Catalogo!$C$5:$C$129,MATCH(A82,Catalogo!$A$5:$A$129,0)),"")</f>
        <v/>
      </c>
    </row>
    <row r="83">
      <c r="A83" s="13" t="inlineStr">
        <is>
          <t>ME06-I1</t>
        </is>
      </c>
      <c r="B83" s="8" t="inlineStr">
        <is>
          <t>Sí</t>
        </is>
      </c>
      <c r="C83" s="8" t="n"/>
      <c r="D83" s="8" t="n"/>
      <c r="E83" s="13">
        <f>IFERROR(INDEX(Catalogo!$C$5:$C$129,MATCH(A83,Catalogo!$A$5:$A$129,0)),"")</f>
        <v/>
      </c>
    </row>
    <row r="84">
      <c r="A84" s="13" t="inlineStr">
        <is>
          <t>ME06-I2</t>
        </is>
      </c>
      <c r="B84" s="8" t="inlineStr">
        <is>
          <t>Sí</t>
        </is>
      </c>
      <c r="C84" s="8" t="n"/>
      <c r="D84" s="8" t="n"/>
      <c r="E84" s="13">
        <f>IFERROR(INDEX(Catalogo!$C$5:$C$129,MATCH(A84,Catalogo!$A$5:$A$129,0)),"")</f>
        <v/>
      </c>
    </row>
    <row r="85">
      <c r="A85" s="13" t="inlineStr">
        <is>
          <t>PS02-I1</t>
        </is>
      </c>
      <c r="B85" s="8" t="inlineStr">
        <is>
          <t>No</t>
        </is>
      </c>
      <c r="C85" s="8" t="n"/>
      <c r="D85" s="8" t="n"/>
      <c r="E85" s="13">
        <f>IFERROR(INDEX(Catalogo!$C$5:$C$129,MATCH(A85,Catalogo!$A$5:$A$129,0)),"")</f>
        <v/>
      </c>
    </row>
    <row r="86">
      <c r="A86" s="13" t="inlineStr">
        <is>
          <t>PS02-I2</t>
        </is>
      </c>
      <c r="B86" s="8" t="inlineStr">
        <is>
          <t>No</t>
        </is>
      </c>
      <c r="C86" s="8" t="n"/>
      <c r="D86" s="8" t="n"/>
      <c r="E86" s="13">
        <f>IFERROR(INDEX(Catalogo!$C$5:$C$129,MATCH(A86,Catalogo!$A$5:$A$129,0)),"")</f>
        <v/>
      </c>
    </row>
    <row r="87">
      <c r="A87" s="13" t="inlineStr">
        <is>
          <t>PS02-I3</t>
        </is>
      </c>
      <c r="B87" s="8" t="inlineStr">
        <is>
          <t>No</t>
        </is>
      </c>
      <c r="C87" s="8" t="n"/>
      <c r="D87" s="8" t="n"/>
      <c r="E87" s="13">
        <f>IFERROR(INDEX(Catalogo!$C$5:$C$129,MATCH(A87,Catalogo!$A$5:$A$129,0)),"")</f>
        <v/>
      </c>
    </row>
    <row r="88">
      <c r="A88" s="13" t="inlineStr">
        <is>
          <t>PS03-I1</t>
        </is>
      </c>
      <c r="B88" s="8" t="inlineStr">
        <is>
          <t>Sí</t>
        </is>
      </c>
      <c r="C88" s="8" t="n"/>
      <c r="D88" s="8" t="n"/>
      <c r="E88" s="13">
        <f>IFERROR(INDEX(Catalogo!$C$5:$C$129,MATCH(A88,Catalogo!$A$5:$A$129,0)),"")</f>
        <v/>
      </c>
    </row>
    <row r="89">
      <c r="A89" s="13" t="inlineStr">
        <is>
          <t>PS03-I2</t>
        </is>
      </c>
      <c r="B89" s="8" t="inlineStr">
        <is>
          <t>Sí</t>
        </is>
      </c>
      <c r="C89" s="8" t="n"/>
      <c r="D89" s="8" t="n"/>
      <c r="E89" s="13">
        <f>IFERROR(INDEX(Catalogo!$C$5:$C$129,MATCH(A89,Catalogo!$A$5:$A$129,0)),"")</f>
        <v/>
      </c>
    </row>
    <row r="90">
      <c r="A90" s="13" t="inlineStr">
        <is>
          <t>PS04-I1</t>
        </is>
      </c>
      <c r="B90" s="8" t="inlineStr">
        <is>
          <t>No</t>
        </is>
      </c>
      <c r="C90" s="8" t="n"/>
      <c r="D90" s="8" t="n"/>
      <c r="E90" s="13">
        <f>IFERROR(INDEX(Catalogo!$C$5:$C$129,MATCH(A90,Catalogo!$A$5:$A$129,0)),"")</f>
        <v/>
      </c>
    </row>
    <row r="91">
      <c r="A91" s="13" t="inlineStr">
        <is>
          <t>PS04-I3</t>
        </is>
      </c>
      <c r="B91" s="8" t="inlineStr">
        <is>
          <t>No</t>
        </is>
      </c>
      <c r="C91" s="8" t="n"/>
      <c r="D91" s="8" t="n"/>
      <c r="E91" s="13">
        <f>IFERROR(INDEX(Catalogo!$C$5:$C$129,MATCH(A91,Catalogo!$A$5:$A$129,0)),"")</f>
        <v/>
      </c>
    </row>
    <row r="92">
      <c r="A92" s="13" t="inlineStr">
        <is>
          <t>PS06-I1</t>
        </is>
      </c>
      <c r="B92" s="8" t="inlineStr">
        <is>
          <t>No</t>
        </is>
      </c>
      <c r="C92" s="8" t="n"/>
      <c r="D92" s="8" t="n"/>
      <c r="E92" s="13">
        <f>IFERROR(INDEX(Catalogo!$C$5:$C$129,MATCH(A92,Catalogo!$A$5:$A$129,0)),"")</f>
        <v/>
      </c>
    </row>
    <row r="93">
      <c r="A93" s="13" t="inlineStr">
        <is>
          <t>PS06-I2</t>
        </is>
      </c>
      <c r="B93" s="8" t="inlineStr">
        <is>
          <t>No</t>
        </is>
      </c>
      <c r="C93" s="8" t="n"/>
      <c r="D93" s="8" t="n"/>
      <c r="E93" s="13">
        <f>IFERROR(INDEX(Catalogo!$C$5:$C$129,MATCH(A93,Catalogo!$A$5:$A$129,0)),"")</f>
        <v/>
      </c>
    </row>
    <row r="94">
      <c r="A94" s="13" t="inlineStr">
        <is>
          <t>PS06-I3</t>
        </is>
      </c>
      <c r="B94" s="8" t="inlineStr">
        <is>
          <t>No</t>
        </is>
      </c>
      <c r="C94" s="8" t="n"/>
      <c r="D94" s="8" t="n"/>
      <c r="E94" s="13">
        <f>IFERROR(INDEX(Catalogo!$C$5:$C$129,MATCH(A94,Catalogo!$A$5:$A$129,0)),"")</f>
        <v/>
      </c>
    </row>
    <row r="95">
      <c r="A95" s="13" t="inlineStr">
        <is>
          <t>PM09-P1</t>
        </is>
      </c>
      <c r="B95" s="8" t="inlineStr">
        <is>
          <t>Sí</t>
        </is>
      </c>
      <c r="C95" s="8" t="n"/>
      <c r="D95" s="8" t="n"/>
      <c r="E95" s="13">
        <f>IFERROR(INDEX(Catalogo!$C$5:$C$129,MATCH(A95,Catalogo!$A$5:$A$129,0)),"")</f>
        <v/>
      </c>
    </row>
    <row r="96">
      <c r="A96" s="13" t="inlineStr">
        <is>
          <t>PM09-P2</t>
        </is>
      </c>
      <c r="B96" s="8" t="inlineStr">
        <is>
          <t>Sí</t>
        </is>
      </c>
      <c r="C96" s="8" t="n"/>
      <c r="D96" s="8" t="n"/>
      <c r="E96" s="13">
        <f>IFERROR(INDEX(Catalogo!$C$5:$C$129,MATCH(A96,Catalogo!$A$5:$A$129,0)),"")</f>
        <v/>
      </c>
    </row>
    <row r="97">
      <c r="A97" s="13" t="inlineStr">
        <is>
          <t>PM10-P5</t>
        </is>
      </c>
      <c r="B97" s="8" t="inlineStr">
        <is>
          <t>Sí</t>
        </is>
      </c>
      <c r="C97" s="8" t="n"/>
      <c r="D97" s="8" t="n"/>
      <c r="E97" s="13">
        <f>IFERROR(INDEX(Catalogo!$C$5:$C$129,MATCH(A97,Catalogo!$A$5:$A$129,0)),"")</f>
        <v/>
      </c>
    </row>
    <row r="98">
      <c r="A98" s="13" t="inlineStr">
        <is>
          <t>PE01-P6</t>
        </is>
      </c>
      <c r="B98" s="8" t="inlineStr">
        <is>
          <t>Solo Facultad</t>
        </is>
      </c>
      <c r="C98" s="8" t="n"/>
      <c r="D98" s="8" t="n"/>
      <c r="E98" s="13">
        <f>IFERROR(INDEX(Catalogo!$C$5:$C$129,MATCH(A98,Catalogo!$A$5:$A$129,0)),"")</f>
        <v/>
      </c>
    </row>
    <row r="99">
      <c r="A99" s="13" t="inlineStr">
        <is>
          <t>PE01-P7</t>
        </is>
      </c>
      <c r="B99" s="8" t="inlineStr">
        <is>
          <t>Solo Facultad</t>
        </is>
      </c>
      <c r="C99" s="8" t="n"/>
      <c r="D99" s="8" t="n"/>
      <c r="E99" s="13">
        <f>IFERROR(INDEX(Catalogo!$C$5:$C$129,MATCH(A99,Catalogo!$A$5:$A$129,0)),"")</f>
        <v/>
      </c>
    </row>
    <row r="100">
      <c r="A100" s="13" t="inlineStr">
        <is>
          <t>PE01-P8</t>
        </is>
      </c>
      <c r="B100" s="8" t="inlineStr">
        <is>
          <t>Solo Facultad</t>
        </is>
      </c>
      <c r="C100" s="8" t="n"/>
      <c r="D100" s="8" t="n"/>
      <c r="E100" s="13">
        <f>IFERROR(INDEX(Catalogo!$C$5:$C$129,MATCH(A100,Catalogo!$A$5:$A$129,0)),"")</f>
        <v/>
      </c>
    </row>
    <row r="101">
      <c r="A101" s="13" t="inlineStr">
        <is>
          <t>PEFM-OE.01</t>
        </is>
      </c>
      <c r="B101" s="8" t="inlineStr">
        <is>
          <t>Solo Facultad</t>
        </is>
      </c>
      <c r="C101" s="8" t="n"/>
      <c r="D101" s="8" t="n"/>
      <c r="E101" s="13">
        <f>IFERROR(INDEX(Catalogo!$C$5:$C$129,MATCH(A101,Catalogo!$A$5:$A$129,0)),"")</f>
        <v/>
      </c>
    </row>
    <row r="102">
      <c r="A102" s="13" t="inlineStr">
        <is>
          <t>PEFM-AE.01.01</t>
        </is>
      </c>
      <c r="B102" s="8" t="inlineStr">
        <is>
          <t>Solo Facultad</t>
        </is>
      </c>
      <c r="C102" s="8" t="n"/>
      <c r="D102" s="8" t="n"/>
      <c r="E102" s="13">
        <f>IFERROR(INDEX(Catalogo!$C$5:$C$129,MATCH(A102,Catalogo!$A$5:$A$129,0)),"")</f>
        <v/>
      </c>
    </row>
    <row r="103">
      <c r="A103" s="13" t="inlineStr">
        <is>
          <t>PEFM-AE.01.02</t>
        </is>
      </c>
      <c r="B103" s="8" t="inlineStr">
        <is>
          <t>Solo Facultad</t>
        </is>
      </c>
      <c r="C103" s="8" t="n"/>
      <c r="D103" s="8" t="n"/>
      <c r="E103" s="13">
        <f>IFERROR(INDEX(Catalogo!$C$5:$C$129,MATCH(A103,Catalogo!$A$5:$A$129,0)),"")</f>
        <v/>
      </c>
    </row>
    <row r="104">
      <c r="A104" s="13" t="inlineStr">
        <is>
          <t>PEFM-AE.01.03-1</t>
        </is>
      </c>
      <c r="B104" s="8" t="inlineStr">
        <is>
          <t>Solo Facultad</t>
        </is>
      </c>
      <c r="C104" s="8" t="n"/>
      <c r="D104" s="8" t="n"/>
      <c r="E104" s="13">
        <f>IFERROR(INDEX(Catalogo!$C$5:$C$129,MATCH(A104,Catalogo!$A$5:$A$129,0)),"")</f>
        <v/>
      </c>
    </row>
    <row r="105">
      <c r="A105" s="13" t="inlineStr">
        <is>
          <t>PEFM-AE.01.03-2</t>
        </is>
      </c>
      <c r="B105" s="8" t="inlineStr">
        <is>
          <t>Solo Facultad</t>
        </is>
      </c>
      <c r="C105" s="8" t="n"/>
      <c r="D105" s="8" t="n"/>
      <c r="E105" s="13">
        <f>IFERROR(INDEX(Catalogo!$C$5:$C$129,MATCH(A105,Catalogo!$A$5:$A$129,0)),"")</f>
        <v/>
      </c>
    </row>
    <row r="106">
      <c r="A106" s="13" t="inlineStr">
        <is>
          <t>PEFM-AE.01.04-1</t>
        </is>
      </c>
      <c r="B106" s="8" t="inlineStr">
        <is>
          <t>Solo Facultad</t>
        </is>
      </c>
      <c r="C106" s="8" t="n"/>
      <c r="D106" s="8" t="n"/>
      <c r="E106" s="13">
        <f>IFERROR(INDEX(Catalogo!$C$5:$C$129,MATCH(A106,Catalogo!$A$5:$A$129,0)),"")</f>
        <v/>
      </c>
    </row>
    <row r="107">
      <c r="A107" s="13" t="inlineStr">
        <is>
          <t>PEFM-AE.01.04-2</t>
        </is>
      </c>
      <c r="B107" s="8" t="inlineStr">
        <is>
          <t>Solo Facultad</t>
        </is>
      </c>
      <c r="C107" s="8" t="n"/>
      <c r="D107" s="8" t="n"/>
      <c r="E107" s="13">
        <f>IFERROR(INDEX(Catalogo!$C$5:$C$129,MATCH(A107,Catalogo!$A$5:$A$129,0)),"")</f>
        <v/>
      </c>
    </row>
    <row r="108">
      <c r="A108" s="13" t="inlineStr">
        <is>
          <t>PEFM-AE.01.05-1</t>
        </is>
      </c>
      <c r="B108" s="8" t="inlineStr">
        <is>
          <t>Solo Facultad</t>
        </is>
      </c>
      <c r="C108" s="8" t="n"/>
      <c r="D108" s="8" t="n"/>
      <c r="E108" s="13">
        <f>IFERROR(INDEX(Catalogo!$C$5:$C$129,MATCH(A108,Catalogo!$A$5:$A$129,0)),"")</f>
        <v/>
      </c>
    </row>
    <row r="109">
      <c r="A109" s="13" t="inlineStr">
        <is>
          <t>PEFM-AE.01.05-2</t>
        </is>
      </c>
      <c r="B109" s="8" t="inlineStr">
        <is>
          <t>Solo Facultad</t>
        </is>
      </c>
      <c r="C109" s="8" t="n"/>
      <c r="D109" s="8" t="n"/>
      <c r="E109" s="13">
        <f>IFERROR(INDEX(Catalogo!$C$5:$C$129,MATCH(A109,Catalogo!$A$5:$A$129,0)),"")</f>
        <v/>
      </c>
    </row>
    <row r="110">
      <c r="A110" s="13" t="inlineStr">
        <is>
          <t>PEFM-AE.01.06-1</t>
        </is>
      </c>
      <c r="B110" s="8" t="inlineStr">
        <is>
          <t>Solo Facultad</t>
        </is>
      </c>
      <c r="C110" s="8" t="n"/>
      <c r="D110" s="8" t="n"/>
      <c r="E110" s="13">
        <f>IFERROR(INDEX(Catalogo!$C$5:$C$129,MATCH(A110,Catalogo!$A$5:$A$129,0)),"")</f>
        <v/>
      </c>
    </row>
    <row r="111">
      <c r="A111" s="13" t="inlineStr">
        <is>
          <t>PEFM-AE.01.06-2</t>
        </is>
      </c>
      <c r="B111" s="8" t="inlineStr">
        <is>
          <t>Solo Facultad</t>
        </is>
      </c>
      <c r="C111" s="8" t="n"/>
      <c r="D111" s="8" t="n"/>
      <c r="E111" s="13">
        <f>IFERROR(INDEX(Catalogo!$C$5:$C$129,MATCH(A111,Catalogo!$A$5:$A$129,0)),"")</f>
        <v/>
      </c>
    </row>
    <row r="112">
      <c r="A112" s="13" t="inlineStr">
        <is>
          <t>PEFM-OE.02</t>
        </is>
      </c>
      <c r="B112" s="8" t="inlineStr">
        <is>
          <t>Solo Facultad</t>
        </is>
      </c>
      <c r="C112" s="8" t="n"/>
      <c r="D112" s="8" t="n"/>
      <c r="E112" s="13">
        <f>IFERROR(INDEX(Catalogo!$C$5:$C$129,MATCH(A112,Catalogo!$A$5:$A$129,0)),"")</f>
        <v/>
      </c>
    </row>
    <row r="113">
      <c r="A113" s="13" t="inlineStr">
        <is>
          <t>PEFM-AE.02.01</t>
        </is>
      </c>
      <c r="B113" s="8" t="inlineStr">
        <is>
          <t>Solo Facultad</t>
        </is>
      </c>
      <c r="C113" s="8" t="n"/>
      <c r="D113" s="8" t="n"/>
      <c r="E113" s="13">
        <f>IFERROR(INDEX(Catalogo!$C$5:$C$129,MATCH(A113,Catalogo!$A$5:$A$129,0)),"")</f>
        <v/>
      </c>
    </row>
    <row r="114">
      <c r="A114" s="13" t="inlineStr">
        <is>
          <t>PEFM-AE.02.02</t>
        </is>
      </c>
      <c r="B114" s="8" t="inlineStr">
        <is>
          <t>Solo Facultad</t>
        </is>
      </c>
      <c r="C114" s="8" t="n"/>
      <c r="D114" s="8" t="n"/>
      <c r="E114" s="13">
        <f>IFERROR(INDEX(Catalogo!$C$5:$C$129,MATCH(A114,Catalogo!$A$5:$A$129,0)),"")</f>
        <v/>
      </c>
    </row>
    <row r="115">
      <c r="A115" s="13" t="inlineStr">
        <is>
          <t>PEFM-AE.02.03-1</t>
        </is>
      </c>
      <c r="B115" s="8" t="inlineStr">
        <is>
          <t>Solo Facultad</t>
        </is>
      </c>
      <c r="C115" s="8" t="n"/>
      <c r="D115" s="8" t="n"/>
      <c r="E115" s="13">
        <f>IFERROR(INDEX(Catalogo!$C$5:$C$129,MATCH(A115,Catalogo!$A$5:$A$129,0)),"")</f>
        <v/>
      </c>
    </row>
    <row r="116">
      <c r="A116" s="13" t="inlineStr">
        <is>
          <t>PEFM-AE.02.03-2</t>
        </is>
      </c>
      <c r="B116" s="8" t="inlineStr">
        <is>
          <t>Solo Facultad</t>
        </is>
      </c>
      <c r="C116" s="8" t="n"/>
      <c r="D116" s="8" t="n"/>
      <c r="E116" s="13">
        <f>IFERROR(INDEX(Catalogo!$C$5:$C$129,MATCH(A116,Catalogo!$A$5:$A$129,0)),"")</f>
        <v/>
      </c>
    </row>
    <row r="117">
      <c r="A117" s="13" t="inlineStr">
        <is>
          <t>PEFM-OE.03-1</t>
        </is>
      </c>
      <c r="B117" s="8" t="inlineStr">
        <is>
          <t>Solo Facultad</t>
        </is>
      </c>
      <c r="C117" s="8" t="n"/>
      <c r="D117" s="8" t="n"/>
      <c r="E117" s="13">
        <f>IFERROR(INDEX(Catalogo!$C$5:$C$129,MATCH(A117,Catalogo!$A$5:$A$129,0)),"")</f>
        <v/>
      </c>
    </row>
    <row r="118">
      <c r="A118" s="13" t="inlineStr">
        <is>
          <t>PEFM-OE.03-2</t>
        </is>
      </c>
      <c r="B118" s="8" t="inlineStr">
        <is>
          <t>Solo Facultad</t>
        </is>
      </c>
      <c r="C118" s="8" t="n"/>
      <c r="D118" s="8" t="n"/>
      <c r="E118" s="13">
        <f>IFERROR(INDEX(Catalogo!$C$5:$C$129,MATCH(A118,Catalogo!$A$5:$A$129,0)),"")</f>
        <v/>
      </c>
    </row>
    <row r="119">
      <c r="A119" s="13" t="inlineStr">
        <is>
          <t>PEFM-AE.03.01-1</t>
        </is>
      </c>
      <c r="B119" s="8" t="inlineStr">
        <is>
          <t>Solo Facultad</t>
        </is>
      </c>
      <c r="C119" s="8" t="n"/>
      <c r="D119" s="8" t="n"/>
      <c r="E119" s="13">
        <f>IFERROR(INDEX(Catalogo!$C$5:$C$129,MATCH(A119,Catalogo!$A$5:$A$129,0)),"")</f>
        <v/>
      </c>
    </row>
    <row r="120">
      <c r="A120" s="13" t="inlineStr">
        <is>
          <t>PEFM-AE.03.01-2</t>
        </is>
      </c>
      <c r="B120" s="8" t="inlineStr">
        <is>
          <t>Solo Facultad</t>
        </is>
      </c>
      <c r="C120" s="8" t="n"/>
      <c r="D120" s="8" t="n"/>
      <c r="E120" s="13">
        <f>IFERROR(INDEX(Catalogo!$C$5:$C$129,MATCH(A120,Catalogo!$A$5:$A$129,0)),"")</f>
        <v/>
      </c>
    </row>
    <row r="121">
      <c r="A121" s="13" t="inlineStr">
        <is>
          <t>PEFM-AE.03.02-1</t>
        </is>
      </c>
      <c r="B121" s="8" t="inlineStr">
        <is>
          <t>Solo Facultad</t>
        </is>
      </c>
      <c r="C121" s="8" t="n"/>
      <c r="D121" s="8" t="n"/>
      <c r="E121" s="13">
        <f>IFERROR(INDEX(Catalogo!$C$5:$C$129,MATCH(A121,Catalogo!$A$5:$A$129,0)),"")</f>
        <v/>
      </c>
    </row>
    <row r="122">
      <c r="A122" s="13" t="inlineStr">
        <is>
          <t>PEFM-AE.03.02-2</t>
        </is>
      </c>
      <c r="B122" s="8" t="inlineStr">
        <is>
          <t>Solo Facultad</t>
        </is>
      </c>
      <c r="C122" s="8" t="n"/>
      <c r="D122" s="8" t="n"/>
      <c r="E122" s="13">
        <f>IFERROR(INDEX(Catalogo!$C$5:$C$129,MATCH(A122,Catalogo!$A$5:$A$129,0)),"")</f>
        <v/>
      </c>
    </row>
    <row r="123">
      <c r="A123" s="13" t="inlineStr">
        <is>
          <t>PEFM-AE.03.03-1</t>
        </is>
      </c>
      <c r="B123" s="8" t="inlineStr">
        <is>
          <t>Solo Facultad</t>
        </is>
      </c>
      <c r="C123" s="8" t="n"/>
      <c r="D123" s="8" t="n"/>
      <c r="E123" s="13">
        <f>IFERROR(INDEX(Catalogo!$C$5:$C$129,MATCH(A123,Catalogo!$A$5:$A$129,0)),"")</f>
        <v/>
      </c>
    </row>
    <row r="124">
      <c r="A124" s="13" t="inlineStr">
        <is>
          <t>PEFM-AE.03.03-2</t>
        </is>
      </c>
      <c r="B124" s="8" t="inlineStr">
        <is>
          <t>Solo Facultad</t>
        </is>
      </c>
      <c r="C124" s="8" t="n"/>
      <c r="D124" s="8" t="n"/>
      <c r="E124" s="13">
        <f>IFERROR(INDEX(Catalogo!$C$5:$C$129,MATCH(A124,Catalogo!$A$5:$A$129,0)),"")</f>
        <v/>
      </c>
    </row>
    <row r="125">
      <c r="A125" s="13" t="inlineStr">
        <is>
          <t>PEFM-AE.03.04</t>
        </is>
      </c>
      <c r="B125" s="8" t="inlineStr">
        <is>
          <t>Solo Facultad</t>
        </is>
      </c>
      <c r="C125" s="8" t="n"/>
      <c r="D125" s="8" t="n"/>
      <c r="E125" s="13">
        <f>IFERROR(INDEX(Catalogo!$C$5:$C$129,MATCH(A125,Catalogo!$A$5:$A$129,0)),"")</f>
        <v/>
      </c>
    </row>
    <row r="126">
      <c r="A126" s="13" t="inlineStr">
        <is>
          <t>PEFM-AE.03.05</t>
        </is>
      </c>
      <c r="B126" s="8" t="inlineStr">
        <is>
          <t>Solo Facultad</t>
        </is>
      </c>
      <c r="C126" s="8" t="n"/>
      <c r="D126" s="8" t="n"/>
      <c r="E126" s="13">
        <f>IFERROR(INDEX(Catalogo!$C$5:$C$129,MATCH(A126,Catalogo!$A$5:$A$129,0)),"")</f>
        <v/>
      </c>
    </row>
    <row r="127">
      <c r="A127" s="13" t="inlineStr">
        <is>
          <t>PEFM-OE.04</t>
        </is>
      </c>
      <c r="B127" s="8" t="inlineStr">
        <is>
          <t>Solo Facultad</t>
        </is>
      </c>
      <c r="C127" s="8" t="n"/>
      <c r="D127" s="8" t="n"/>
      <c r="E127" s="13">
        <f>IFERROR(INDEX(Catalogo!$C$5:$C$129,MATCH(A127,Catalogo!$A$5:$A$129,0)),"")</f>
        <v/>
      </c>
    </row>
    <row r="128">
      <c r="A128" s="13" t="inlineStr">
        <is>
          <t>PEFM-AE.04.01</t>
        </is>
      </c>
      <c r="B128" s="8" t="inlineStr">
        <is>
          <t>Solo Facultad</t>
        </is>
      </c>
      <c r="C128" s="8" t="n"/>
      <c r="D128" s="8" t="n"/>
      <c r="E128" s="13">
        <f>IFERROR(INDEX(Catalogo!$C$5:$C$129,MATCH(A128,Catalogo!$A$5:$A$129,0)),"")</f>
        <v/>
      </c>
    </row>
    <row r="129">
      <c r="A129" s="13" t="inlineStr">
        <is>
          <t>PEFM-AE.04.02</t>
        </is>
      </c>
      <c r="B129" s="8" t="inlineStr">
        <is>
          <t>Solo Facultad</t>
        </is>
      </c>
      <c r="C129" s="8" t="n"/>
      <c r="D129" s="8" t="n"/>
      <c r="E129" s="13">
        <f>IFERROR(INDEX(Catalogo!$C$5:$C$129,MATCH(A129,Catalogo!$A$5:$A$129,0)),"")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1">
    <dataValidation sqref="B5:B129" showDropDown="0" showInputMessage="0" showErrorMessage="1" allowBlank="0" errorTitle="Valor no válido" error="Elige un valor de la lista." type="list">
      <formula1>=Listas!$J$2:$J$4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/>
  </sheetPr>
  <dimension ref="A1:P5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44" customWidth="1" min="4" max="4"/>
    <col width="18" customWidth="1" min="5" max="5"/>
    <col width="20" customWidth="1" min="6" max="6"/>
    <col width="22" customWidth="1" min="7" max="7"/>
    <col width="18" customWidth="1" min="8" max="8"/>
    <col width="11" customWidth="1" min="9" max="9"/>
    <col width="22" customWidth="1" min="10" max="10"/>
    <col width="12" customWidth="1" min="11" max="11"/>
    <col width="11" customWidth="1" min="12" max="12"/>
    <col width="50" customWidth="1" min="13" max="13"/>
    <col width="30" customWidth="1" min="14" max="14"/>
    <col width="36" customWidth="1" min="15" max="15"/>
    <col width="22" customWidth="1" min="16" max="16"/>
  </cols>
  <sheetData>
    <row r="1">
      <c r="A1" s="1" t="inlineStr">
        <is>
          <t>Autoevaluación por criterio (53 criterios del modelo CONEAU 2026)</t>
        </is>
      </c>
    </row>
    <row r="2">
      <c r="A2" s="2" t="inlineStr">
        <is>
          <t>Misma lista para las tres escuelas. Llena lo que diga el informe de autoevaluación de la escuela; sin informe, deja «sin dato». Alimenta las alertas R12 (EV exigidas sin citar) y R13 (matrices pendientes).</t>
        </is>
      </c>
    </row>
    <row r="4" ht="32" customHeight="1">
      <c r="A4" s="5" t="inlineStr">
        <is>
          <t>escuela</t>
        </is>
      </c>
      <c r="B4" s="5" t="inlineStr">
        <is>
          <t>estandar</t>
        </is>
      </c>
      <c r="C4" s="5" t="inlineStr">
        <is>
          <t>criterio</t>
        </is>
      </c>
      <c r="D4" s="5" t="inlineStr">
        <is>
          <t>resumen</t>
        </is>
      </c>
      <c r="E4" s="5" t="inlineStr">
        <is>
          <t>valoracion_informe</t>
        </is>
      </c>
      <c r="F4" s="5" t="inlineStr">
        <is>
          <t>ev_exigidas</t>
        </is>
      </c>
      <c r="G4" s="5" t="inlineStr">
        <is>
          <t>ev_exigidas_sin_citar</t>
        </is>
      </c>
      <c r="H4" s="5" t="inlineStr">
        <is>
          <t>matrices_pendientes</t>
        </is>
      </c>
      <c r="I4" s="5" t="inlineStr">
        <is>
          <t>prioridad</t>
        </is>
      </c>
      <c r="J4" s="5" t="inlineStr">
        <is>
          <t>indicadores_que_lo_citan</t>
        </is>
      </c>
      <c r="K4" s="5" t="inlineStr">
        <is>
          <t>evidencias_citadas</t>
        </is>
      </c>
      <c r="L4" s="5" t="inlineStr">
        <is>
          <t>con_enlace</t>
        </is>
      </c>
      <c r="M4" s="5" t="inlineStr">
        <is>
          <t>evidencia_que_falta</t>
        </is>
      </c>
      <c r="N4" s="5" t="inlineStr">
        <is>
          <t>archivo</t>
        </is>
      </c>
      <c r="O4" s="5" t="inlineStr">
        <is>
          <t>fuente</t>
        </is>
      </c>
      <c r="P4" s="5" t="inlineStr">
        <is>
          <t>origen</t>
        </is>
      </c>
    </row>
    <row r="5">
      <c r="A5" s="14">
        <f>IF(Portada!$B$7="","",Portada!$B$7)</f>
        <v/>
      </c>
      <c r="B5" s="15" t="inlineStr">
        <is>
          <t>E1</t>
        </is>
      </c>
      <c r="C5" s="15" t="inlineStr">
        <is>
          <t>1.1</t>
        </is>
      </c>
      <c r="D5" s="14" t="inlineStr">
        <is>
          <t>Estructura interna pertinente</t>
        </is>
      </c>
      <c r="E5" s="16" t="inlineStr">
        <is>
          <t>sin dato</t>
        </is>
      </c>
      <c r="F5" s="14" t="inlineStr">
        <is>
          <t>EV1</t>
        </is>
      </c>
      <c r="G5" s="16" t="n"/>
      <c r="H5" s="16" t="n"/>
      <c r="I5" s="16" t="n"/>
      <c r="J5" s="14" t="inlineStr"/>
      <c r="K5" s="16" t="n"/>
      <c r="L5" s="16" t="n"/>
      <c r="M5" s="16" t="n"/>
      <c r="N5" s="16" t="n"/>
      <c r="O5" s="16" t="n"/>
      <c r="P5" s="16" t="n"/>
    </row>
    <row r="6">
      <c r="A6" s="14">
        <f>IF(Portada!$B$7="","",Portada!$B$7)</f>
        <v/>
      </c>
      <c r="B6" s="15" t="inlineStr">
        <is>
          <t>E1</t>
        </is>
      </c>
      <c r="C6" s="15" t="inlineStr">
        <is>
          <t>1.2</t>
        </is>
      </c>
      <c r="D6" s="14" t="inlineStr">
        <is>
          <t>Cuerpo directivo idóneo</t>
        </is>
      </c>
      <c r="E6" s="16" t="inlineStr">
        <is>
          <t>sin dato</t>
        </is>
      </c>
      <c r="F6" s="14" t="inlineStr">
        <is>
          <t>EV2</t>
        </is>
      </c>
      <c r="G6" s="16" t="n"/>
      <c r="H6" s="16" t="n"/>
      <c r="I6" s="16" t="n"/>
      <c r="J6" s="14" t="inlineStr"/>
      <c r="K6" s="16" t="n"/>
      <c r="L6" s="16" t="n"/>
      <c r="M6" s="16" t="n"/>
      <c r="N6" s="16" t="n"/>
      <c r="O6" s="16" t="n"/>
      <c r="P6" s="16" t="n"/>
    </row>
    <row r="7">
      <c r="A7" s="14">
        <f>IF(Portada!$B$7="","",Portada!$B$7)</f>
        <v/>
      </c>
      <c r="B7" s="15" t="inlineStr">
        <is>
          <t>E1</t>
        </is>
      </c>
      <c r="C7" s="15" t="inlineStr">
        <is>
          <t>1.3</t>
        </is>
      </c>
      <c r="D7" s="14" t="inlineStr">
        <is>
          <t>Planes con objetivos académicos evaluados anualmente</t>
        </is>
      </c>
      <c r="E7" s="16" t="inlineStr">
        <is>
          <t>sin dato</t>
        </is>
      </c>
      <c r="F7" s="14" t="inlineStr">
        <is>
          <t>EV3 EV4 EV5 EV6</t>
        </is>
      </c>
      <c r="G7" s="16" t="n"/>
      <c r="H7" s="16" t="n"/>
      <c r="I7" s="16" t="n"/>
      <c r="J7" s="14" t="inlineStr"/>
      <c r="K7" s="16" t="n"/>
      <c r="L7" s="16" t="n"/>
      <c r="M7" s="16" t="n"/>
      <c r="N7" s="16" t="n"/>
      <c r="O7" s="16" t="n"/>
      <c r="P7" s="16" t="n"/>
    </row>
    <row r="8">
      <c r="A8" s="14">
        <f>IF(Portada!$B$7="","",Portada!$B$7)</f>
        <v/>
      </c>
      <c r="B8" s="15" t="inlineStr">
        <is>
          <t>E1</t>
        </is>
      </c>
      <c r="C8" s="15" t="inlineStr">
        <is>
          <t>1.4</t>
        </is>
      </c>
      <c r="D8" s="14" t="inlineStr">
        <is>
          <t>Quejas, reclamos y denuncias</t>
        </is>
      </c>
      <c r="E8" s="16" t="inlineStr">
        <is>
          <t>sin dato</t>
        </is>
      </c>
      <c r="F8" s="14" t="inlineStr">
        <is>
          <t>EV7</t>
        </is>
      </c>
      <c r="G8" s="16" t="n"/>
      <c r="H8" s="16" t="n"/>
      <c r="I8" s="16" t="n"/>
      <c r="J8" s="14" t="inlineStr"/>
      <c r="K8" s="16" t="n"/>
      <c r="L8" s="16" t="n"/>
      <c r="M8" s="16" t="n"/>
      <c r="N8" s="16" t="n"/>
      <c r="O8" s="16" t="n"/>
      <c r="P8" s="16" t="n"/>
    </row>
    <row r="9">
      <c r="A9" s="14">
        <f>IF(Portada!$B$7="","",Portada!$B$7)</f>
        <v/>
      </c>
      <c r="B9" s="15" t="inlineStr">
        <is>
          <t>E1</t>
        </is>
      </c>
      <c r="C9" s="15" t="inlineStr">
        <is>
          <t>1.5</t>
        </is>
      </c>
      <c r="D9" s="14" t="inlineStr">
        <is>
          <t>Satisfacción con servicios administrativos</t>
        </is>
      </c>
      <c r="E9" s="16" t="inlineStr">
        <is>
          <t>sin dato</t>
        </is>
      </c>
      <c r="F9" s="14" t="inlineStr">
        <is>
          <t>EV7 EV41 EV42 EV43</t>
        </is>
      </c>
      <c r="G9" s="16" t="n"/>
      <c r="H9" s="16" t="n"/>
      <c r="I9" s="16" t="n"/>
      <c r="J9" s="14" t="inlineStr">
        <is>
          <t>ID8 ID18 ID21</t>
        </is>
      </c>
      <c r="K9" s="16" t="n"/>
      <c r="L9" s="16" t="n"/>
      <c r="M9" s="16" t="n"/>
      <c r="N9" s="16" t="n"/>
      <c r="O9" s="16" t="n"/>
      <c r="P9" s="16" t="n"/>
    </row>
    <row r="10">
      <c r="A10" s="14">
        <f>IF(Portada!$B$7="","",Portada!$B$7)</f>
        <v/>
      </c>
      <c r="B10" s="15" t="inlineStr">
        <is>
          <t>E2</t>
        </is>
      </c>
      <c r="C10" s="15" t="inlineStr">
        <is>
          <t>2.1</t>
        </is>
      </c>
      <c r="D10" s="14" t="inlineStr">
        <is>
          <t>Componentes mínimos del currículo</t>
        </is>
      </c>
      <c r="E10" s="16" t="inlineStr">
        <is>
          <t>sin dato</t>
        </is>
      </c>
      <c r="F10" s="14" t="inlineStr">
        <is>
          <t>EV8</t>
        </is>
      </c>
      <c r="G10" s="16" t="n"/>
      <c r="H10" s="16" t="n"/>
      <c r="I10" s="16" t="n"/>
      <c r="J10" s="14" t="inlineStr">
        <is>
          <t>ID1 ID12</t>
        </is>
      </c>
      <c r="K10" s="16" t="n"/>
      <c r="L10" s="16" t="n"/>
      <c r="M10" s="16" t="n"/>
      <c r="N10" s="16" t="n"/>
      <c r="O10" s="16" t="n"/>
      <c r="P10" s="16" t="n"/>
    </row>
    <row r="11">
      <c r="A11" s="14">
        <f>IF(Portada!$B$7="","",Portada!$B$7)</f>
        <v/>
      </c>
      <c r="B11" s="15" t="inlineStr">
        <is>
          <t>E2</t>
        </is>
      </c>
      <c r="C11" s="15" t="inlineStr">
        <is>
          <t>2.2</t>
        </is>
      </c>
      <c r="D11" s="14" t="inlineStr">
        <is>
          <t>Perfil de egreso</t>
        </is>
      </c>
      <c r="E11" s="16" t="inlineStr">
        <is>
          <t>sin dato</t>
        </is>
      </c>
      <c r="F11" s="14" t="inlineStr">
        <is>
          <t>EV8</t>
        </is>
      </c>
      <c r="G11" s="16" t="n"/>
      <c r="H11" s="16" t="n"/>
      <c r="I11" s="16" t="n"/>
      <c r="J11" s="14" t="inlineStr"/>
      <c r="K11" s="16" t="n"/>
      <c r="L11" s="16" t="n"/>
      <c r="M11" s="16" t="n"/>
      <c r="N11" s="16" t="n"/>
      <c r="O11" s="16" t="n"/>
      <c r="P11" s="16" t="n"/>
    </row>
    <row r="12">
      <c r="A12" s="14">
        <f>IF(Portada!$B$7="","",Portada!$B$7)</f>
        <v/>
      </c>
      <c r="B12" s="15" t="inlineStr">
        <is>
          <t>E2</t>
        </is>
      </c>
      <c r="C12" s="15" t="inlineStr">
        <is>
          <t>2.3</t>
        </is>
      </c>
      <c r="D12" s="14" t="inlineStr">
        <is>
          <t>Plan de estudios completo</t>
        </is>
      </c>
      <c r="E12" s="16" t="inlineStr">
        <is>
          <t>sin dato</t>
        </is>
      </c>
      <c r="F12" s="14" t="inlineStr">
        <is>
          <t>EV8</t>
        </is>
      </c>
      <c r="G12" s="16" t="n"/>
      <c r="H12" s="16" t="n"/>
      <c r="I12" s="16" t="n"/>
      <c r="J12" s="14" t="inlineStr"/>
      <c r="K12" s="16" t="n"/>
      <c r="L12" s="16" t="n"/>
      <c r="M12" s="16" t="n"/>
      <c r="N12" s="16" t="n"/>
      <c r="O12" s="16" t="n"/>
      <c r="P12" s="16" t="n"/>
    </row>
    <row r="13">
      <c r="A13" s="14">
        <f>IF(Portada!$B$7="","",Portada!$B$7)</f>
        <v/>
      </c>
      <c r="B13" s="15" t="inlineStr">
        <is>
          <t>E2</t>
        </is>
      </c>
      <c r="C13" s="15" t="inlineStr">
        <is>
          <t>2.4</t>
        </is>
      </c>
      <c r="D13" s="14" t="inlineStr"/>
      <c r="E13" s="16" t="inlineStr">
        <is>
          <t>sin dato</t>
        </is>
      </c>
      <c r="F13" s="14" t="inlineStr">
        <is>
          <t>EV9</t>
        </is>
      </c>
      <c r="G13" s="16" t="n"/>
      <c r="H13" s="16" t="n"/>
      <c r="I13" s="16" t="n"/>
      <c r="J13" s="14" t="inlineStr"/>
      <c r="K13" s="16" t="n"/>
      <c r="L13" s="16" t="n"/>
      <c r="M13" s="16" t="n"/>
      <c r="N13" s="16" t="n"/>
      <c r="O13" s="16" t="n"/>
      <c r="P13" s="16" t="n"/>
    </row>
    <row r="14">
      <c r="A14" s="14">
        <f>IF(Portada!$B$7="","",Portada!$B$7)</f>
        <v/>
      </c>
      <c r="B14" s="15" t="inlineStr">
        <is>
          <t>E2</t>
        </is>
      </c>
      <c r="C14" s="15" t="inlineStr">
        <is>
          <t>2.5</t>
        </is>
      </c>
      <c r="D14" s="14" t="inlineStr">
        <is>
          <t>Contenido de los sílabos</t>
        </is>
      </c>
      <c r="E14" s="16" t="inlineStr">
        <is>
          <t>sin dato</t>
        </is>
      </c>
      <c r="F14" s="14" t="inlineStr">
        <is>
          <t>EV9</t>
        </is>
      </c>
      <c r="G14" s="16" t="n"/>
      <c r="H14" s="16" t="n"/>
      <c r="I14" s="16" t="n"/>
      <c r="J14" s="14" t="inlineStr"/>
      <c r="K14" s="16" t="n"/>
      <c r="L14" s="16" t="n"/>
      <c r="M14" s="16" t="n"/>
      <c r="N14" s="16" t="n"/>
      <c r="O14" s="16" t="n"/>
      <c r="P14" s="16" t="n"/>
    </row>
    <row r="15">
      <c r="A15" s="14">
        <f>IF(Portada!$B$7="","",Portada!$B$7)</f>
        <v/>
      </c>
      <c r="B15" s="15" t="inlineStr">
        <is>
          <t>E2</t>
        </is>
      </c>
      <c r="C15" s="15" t="inlineStr">
        <is>
          <t>2.6</t>
        </is>
      </c>
      <c r="D15" s="14" t="inlineStr">
        <is>
          <t>Normas de convalidación</t>
        </is>
      </c>
      <c r="E15" s="16" t="inlineStr">
        <is>
          <t>sin dato</t>
        </is>
      </c>
      <c r="F15" s="14" t="inlineStr">
        <is>
          <t>EV11</t>
        </is>
      </c>
      <c r="G15" s="16" t="n"/>
      <c r="H15" s="16" t="n"/>
      <c r="I15" s="16" t="n"/>
      <c r="J15" s="14" t="inlineStr"/>
      <c r="K15" s="16" t="n"/>
      <c r="L15" s="16" t="n"/>
      <c r="M15" s="16" t="n"/>
      <c r="N15" s="16" t="n"/>
      <c r="O15" s="16" t="n"/>
      <c r="P15" s="16" t="n"/>
    </row>
    <row r="16">
      <c r="A16" s="14">
        <f>IF(Portada!$B$7="","",Portada!$B$7)</f>
        <v/>
      </c>
      <c r="B16" s="15" t="inlineStr">
        <is>
          <t>E2</t>
        </is>
      </c>
      <c r="C16" s="15" t="inlineStr">
        <is>
          <t>2.7</t>
        </is>
      </c>
      <c r="D16" s="14" t="inlineStr">
        <is>
          <t>Verificación del cumplimiento de sílabos</t>
        </is>
      </c>
      <c r="E16" s="16" t="inlineStr">
        <is>
          <t>sin dato</t>
        </is>
      </c>
      <c r="F16" s="14" t="inlineStr">
        <is>
          <t>EV10</t>
        </is>
      </c>
      <c r="G16" s="16" t="n"/>
      <c r="H16" s="16" t="n"/>
      <c r="I16" s="16" t="n"/>
      <c r="J16" s="14" t="inlineStr">
        <is>
          <t>ID11</t>
        </is>
      </c>
      <c r="K16" s="16" t="n"/>
      <c r="L16" s="16" t="n"/>
      <c r="M16" s="16" t="n"/>
      <c r="N16" s="16" t="n"/>
      <c r="O16" s="16" t="n"/>
      <c r="P16" s="16" t="n"/>
    </row>
    <row r="17">
      <c r="A17" s="14">
        <f>IF(Portada!$B$7="","",Portada!$B$7)</f>
        <v/>
      </c>
      <c r="B17" s="15" t="inlineStr">
        <is>
          <t>E3</t>
        </is>
      </c>
      <c r="C17" s="15" t="inlineStr">
        <is>
          <t>3.1</t>
        </is>
      </c>
      <c r="D17" s="14" t="inlineStr">
        <is>
          <t>Evaluación de la calidad de la enseñanza</t>
        </is>
      </c>
      <c r="E17" s="16" t="inlineStr">
        <is>
          <t>sin dato</t>
        </is>
      </c>
      <c r="F17" s="14" t="inlineStr">
        <is>
          <t>EV12</t>
        </is>
      </c>
      <c r="G17" s="16" t="n"/>
      <c r="H17" s="16" t="n"/>
      <c r="I17" s="16" t="n"/>
      <c r="J17" s="14" t="inlineStr">
        <is>
          <t>ID1 ID3 ID4 ID10 ID19 ID22</t>
        </is>
      </c>
      <c r="K17" s="16" t="n"/>
      <c r="L17" s="16" t="n"/>
      <c r="M17" s="16" t="n"/>
      <c r="N17" s="16" t="n"/>
      <c r="O17" s="16" t="n"/>
      <c r="P17" s="16" t="n"/>
    </row>
    <row r="18">
      <c r="A18" s="14">
        <f>IF(Portada!$B$7="","",Portada!$B$7)</f>
        <v/>
      </c>
      <c r="B18" s="15" t="inlineStr">
        <is>
          <t>E3</t>
        </is>
      </c>
      <c r="C18" s="15" t="inlineStr">
        <is>
          <t>3.2</t>
        </is>
      </c>
      <c r="D18" s="14" t="inlineStr">
        <is>
          <t>Evaluación coherente con el enfoque pedagógico</t>
        </is>
      </c>
      <c r="E18" s="16" t="inlineStr">
        <is>
          <t>sin dato</t>
        </is>
      </c>
      <c r="F18" s="14" t="inlineStr">
        <is>
          <t>EV13</t>
        </is>
      </c>
      <c r="G18" s="16" t="n"/>
      <c r="H18" s="16" t="n"/>
      <c r="I18" s="16" t="n"/>
      <c r="J18" s="14" t="inlineStr">
        <is>
          <t>ID4</t>
        </is>
      </c>
      <c r="K18" s="16" t="n"/>
      <c r="L18" s="16" t="n"/>
      <c r="M18" s="16" t="n"/>
      <c r="N18" s="16" t="n"/>
      <c r="O18" s="16" t="n"/>
      <c r="P18" s="16" t="n"/>
    </row>
    <row r="19">
      <c r="A19" s="14">
        <f>IF(Portada!$B$7="","",Portada!$B$7)</f>
        <v/>
      </c>
      <c r="B19" s="15" t="inlineStr">
        <is>
          <t>E3</t>
        </is>
      </c>
      <c r="C19" s="15" t="inlineStr">
        <is>
          <t>3.3</t>
        </is>
      </c>
      <c r="D19" s="14" t="inlineStr">
        <is>
          <t>Evidencias del logro del perfil</t>
        </is>
      </c>
      <c r="E19" s="16" t="inlineStr">
        <is>
          <t>sin dato</t>
        </is>
      </c>
      <c r="F19" s="14" t="inlineStr">
        <is>
          <t>EV13 EV17</t>
        </is>
      </c>
      <c r="G19" s="16" t="n"/>
      <c r="H19" s="16" t="n"/>
      <c r="I19" s="16" t="n"/>
      <c r="J19" s="14" t="inlineStr">
        <is>
          <t>ID4 ID20</t>
        </is>
      </c>
      <c r="K19" s="16" t="n"/>
      <c r="L19" s="16" t="n"/>
      <c r="M19" s="16" t="n"/>
      <c r="N19" s="16" t="n"/>
      <c r="O19" s="16" t="n"/>
      <c r="P19" s="16" t="n"/>
    </row>
    <row r="20">
      <c r="A20" s="14">
        <f>IF(Portada!$B$7="","",Portada!$B$7)</f>
        <v/>
      </c>
      <c r="B20" s="15" t="inlineStr">
        <is>
          <t>E3</t>
        </is>
      </c>
      <c r="C20" s="15" t="inlineStr">
        <is>
          <t>3.4</t>
        </is>
      </c>
      <c r="D20" s="14" t="inlineStr">
        <is>
          <t>Información oportuna al estudiante</t>
        </is>
      </c>
      <c r="E20" s="16" t="inlineStr">
        <is>
          <t>sin dato</t>
        </is>
      </c>
      <c r="F20" s="14" t="inlineStr">
        <is>
          <t>EV13</t>
        </is>
      </c>
      <c r="G20" s="16" t="n"/>
      <c r="H20" s="16" t="n"/>
      <c r="I20" s="16" t="n"/>
      <c r="J20" s="14" t="inlineStr">
        <is>
          <t>ID4</t>
        </is>
      </c>
      <c r="K20" s="16" t="n"/>
      <c r="L20" s="16" t="n"/>
      <c r="M20" s="16" t="n"/>
      <c r="N20" s="16" t="n"/>
      <c r="O20" s="16" t="n"/>
      <c r="P20" s="16" t="n"/>
    </row>
    <row r="21">
      <c r="A21" s="14">
        <f>IF(Portada!$B$7="","",Portada!$B$7)</f>
        <v/>
      </c>
      <c r="B21" s="15" t="inlineStr">
        <is>
          <t>E3</t>
        </is>
      </c>
      <c r="C21" s="15" t="inlineStr">
        <is>
          <t>3.5</t>
        </is>
      </c>
      <c r="D21" s="14" t="inlineStr">
        <is>
          <t>Tutoría y asesoría</t>
        </is>
      </c>
      <c r="E21" s="16" t="inlineStr">
        <is>
          <t>sin dato</t>
        </is>
      </c>
      <c r="F21" s="14" t="inlineStr">
        <is>
          <t>EV14 EV15 EV18</t>
        </is>
      </c>
      <c r="G21" s="16" t="n"/>
      <c r="H21" s="16" t="n"/>
      <c r="I21" s="16" t="n"/>
      <c r="J21" s="14" t="inlineStr">
        <is>
          <t>ID5 ID9 ID24</t>
        </is>
      </c>
      <c r="K21" s="16" t="n"/>
      <c r="L21" s="16" t="n"/>
      <c r="M21" s="16" t="n"/>
      <c r="N21" s="16" t="n"/>
      <c r="O21" s="16" t="n"/>
      <c r="P21" s="16" t="n"/>
    </row>
    <row r="22">
      <c r="A22" s="14">
        <f>IF(Portada!$B$7="","",Portada!$B$7)</f>
        <v/>
      </c>
      <c r="B22" s="15" t="inlineStr">
        <is>
          <t>E3</t>
        </is>
      </c>
      <c r="C22" s="15" t="inlineStr">
        <is>
          <t>3.6</t>
        </is>
      </c>
      <c r="D22" s="14" t="inlineStr">
        <is>
          <t>Originalidad y rigor de tesis</t>
        </is>
      </c>
      <c r="E22" s="16" t="inlineStr">
        <is>
          <t>sin dato</t>
        </is>
      </c>
      <c r="F22" s="14" t="inlineStr">
        <is>
          <t>EV16 EV19</t>
        </is>
      </c>
      <c r="G22" s="16" t="n"/>
      <c r="H22" s="16" t="n"/>
      <c r="I22" s="16" t="n"/>
      <c r="J22" s="14" t="inlineStr"/>
      <c r="K22" s="16" t="n"/>
      <c r="L22" s="16" t="n"/>
      <c r="M22" s="16" t="n"/>
      <c r="N22" s="16" t="n"/>
      <c r="O22" s="16" t="n"/>
      <c r="P22" s="16" t="n"/>
    </row>
    <row r="23">
      <c r="A23" s="14">
        <f>IF(Portada!$B$7="","",Portada!$B$7)</f>
        <v/>
      </c>
      <c r="B23" s="15" t="inlineStr">
        <is>
          <t>E3</t>
        </is>
      </c>
      <c r="C23" s="15" t="inlineStr">
        <is>
          <t>3.7</t>
        </is>
      </c>
      <c r="D23" s="14" t="inlineStr">
        <is>
          <t>Autoría del propio estudiante</t>
        </is>
      </c>
      <c r="E23" s="16" t="inlineStr">
        <is>
          <t>sin dato</t>
        </is>
      </c>
      <c r="F23" s="14" t="inlineStr">
        <is>
          <t>EV16</t>
        </is>
      </c>
      <c r="G23" s="16" t="n"/>
      <c r="H23" s="16" t="n"/>
      <c r="I23" s="16" t="n"/>
      <c r="J23" s="14" t="inlineStr"/>
      <c r="K23" s="16" t="n"/>
      <c r="L23" s="16" t="n"/>
      <c r="M23" s="16" t="n"/>
      <c r="N23" s="16" t="n"/>
      <c r="O23" s="16" t="n"/>
      <c r="P23" s="16" t="n"/>
    </row>
    <row r="24">
      <c r="A24" s="14">
        <f>IF(Portada!$B$7="","",Portada!$B$7)</f>
        <v/>
      </c>
      <c r="B24" s="15" t="inlineStr">
        <is>
          <t>E4</t>
        </is>
      </c>
      <c r="C24" s="15" t="inlineStr">
        <is>
          <t>4.1</t>
        </is>
      </c>
      <c r="D24" s="14" t="inlineStr">
        <is>
          <t>Selección y vinculación transparente</t>
        </is>
      </c>
      <c r="E24" s="16" t="inlineStr">
        <is>
          <t>sin dato</t>
        </is>
      </c>
      <c r="F24" s="14" t="inlineStr">
        <is>
          <t>EV20 EV22 EV24</t>
        </is>
      </c>
      <c r="G24" s="16" t="n"/>
      <c r="H24" s="16" t="n"/>
      <c r="I24" s="16" t="n"/>
      <c r="J24" s="14" t="inlineStr">
        <is>
          <t>ID4 ID14 ID19</t>
        </is>
      </c>
      <c r="K24" s="16" t="n"/>
      <c r="L24" s="16" t="n"/>
      <c r="M24" s="16" t="n"/>
      <c r="N24" s="16" t="n"/>
      <c r="O24" s="16" t="n"/>
      <c r="P24" s="16" t="n"/>
    </row>
    <row r="25">
      <c r="A25" s="14">
        <f>IF(Portada!$B$7="","",Portada!$B$7)</f>
        <v/>
      </c>
      <c r="B25" s="15" t="inlineStr">
        <is>
          <t>E4</t>
        </is>
      </c>
      <c r="C25" s="15" t="inlineStr">
        <is>
          <t>4.2</t>
        </is>
      </c>
      <c r="D25" s="14" t="inlineStr">
        <is>
          <t>Competencias pedagógicas, disciplinares y digitales</t>
        </is>
      </c>
      <c r="E25" s="16" t="inlineStr">
        <is>
          <t>sin dato</t>
        </is>
      </c>
      <c r="F25" s="14" t="inlineStr">
        <is>
          <t>EV21 EV24 EV25</t>
        </is>
      </c>
      <c r="G25" s="16" t="n"/>
      <c r="H25" s="16" t="n"/>
      <c r="I25" s="16" t="n"/>
      <c r="J25" s="14" t="inlineStr">
        <is>
          <t>ID2 ID19</t>
        </is>
      </c>
      <c r="K25" s="16" t="n"/>
      <c r="L25" s="16" t="n"/>
      <c r="M25" s="16" t="n"/>
      <c r="N25" s="16" t="n"/>
      <c r="O25" s="16" t="n"/>
      <c r="P25" s="16" t="n"/>
    </row>
    <row r="26">
      <c r="A26" s="14">
        <f>IF(Portada!$B$7="","",Portada!$B$7)</f>
        <v/>
      </c>
      <c r="B26" s="15" t="inlineStr">
        <is>
          <t>E4</t>
        </is>
      </c>
      <c r="C26" s="15" t="inlineStr">
        <is>
          <t>4.3</t>
        </is>
      </c>
      <c r="D26" s="14" t="inlineStr">
        <is>
          <t>Carga lectiva según perfil docente</t>
        </is>
      </c>
      <c r="E26" s="16" t="inlineStr">
        <is>
          <t>sin dato</t>
        </is>
      </c>
      <c r="F26" s="14" t="inlineStr">
        <is>
          <t>EV23 EV24</t>
        </is>
      </c>
      <c r="G26" s="16" t="n"/>
      <c r="H26" s="16" t="n"/>
      <c r="I26" s="16" t="n"/>
      <c r="J26" s="14" t="inlineStr">
        <is>
          <t>ID2 ID13 ID14</t>
        </is>
      </c>
      <c r="K26" s="16" t="n"/>
      <c r="L26" s="16" t="n"/>
      <c r="M26" s="16" t="n"/>
      <c r="N26" s="16" t="n"/>
      <c r="O26" s="16" t="n"/>
      <c r="P26" s="16" t="n"/>
    </row>
    <row r="27">
      <c r="A27" s="14">
        <f>IF(Portada!$B$7="","",Portada!$B$7)</f>
        <v/>
      </c>
      <c r="B27" s="15" t="inlineStr">
        <is>
          <t>E4</t>
        </is>
      </c>
      <c r="C27" s="15" t="inlineStr">
        <is>
          <t>4.4</t>
        </is>
      </c>
      <c r="D27" s="14" t="inlineStr">
        <is>
          <t>Evaluación periódica del desempeño</t>
        </is>
      </c>
      <c r="E27" s="16" t="inlineStr">
        <is>
          <t>sin dato</t>
        </is>
      </c>
      <c r="F27" s="14" t="inlineStr">
        <is>
          <t>EV21 EV25</t>
        </is>
      </c>
      <c r="G27" s="16" t="n"/>
      <c r="H27" s="16" t="n"/>
      <c r="I27" s="16" t="n"/>
      <c r="J27" s="14" t="inlineStr">
        <is>
          <t>ID2 ID15 ID16 ID19</t>
        </is>
      </c>
      <c r="K27" s="16" t="n"/>
      <c r="L27" s="16" t="n"/>
      <c r="M27" s="16" t="n"/>
      <c r="N27" s="16" t="n"/>
      <c r="O27" s="16" t="n"/>
      <c r="P27" s="16" t="n"/>
    </row>
    <row r="28">
      <c r="A28" s="14">
        <f>IF(Portada!$B$7="","",Portada!$B$7)</f>
        <v/>
      </c>
      <c r="B28" s="15" t="inlineStr">
        <is>
          <t>E4</t>
        </is>
      </c>
      <c r="C28" s="15" t="inlineStr">
        <is>
          <t>4.5</t>
        </is>
      </c>
      <c r="D28" s="14" t="inlineStr">
        <is>
          <t>Fortalecimiento de capacidades</t>
        </is>
      </c>
      <c r="E28" s="16" t="inlineStr">
        <is>
          <t>sin dato</t>
        </is>
      </c>
      <c r="F28" s="14" t="inlineStr">
        <is>
          <t>EV26 EV27</t>
        </is>
      </c>
      <c r="G28" s="16" t="n"/>
      <c r="H28" s="16" t="n"/>
      <c r="I28" s="16" t="n"/>
      <c r="J28" s="14" t="inlineStr">
        <is>
          <t>ID15 ID16</t>
        </is>
      </c>
      <c r="K28" s="16" t="n"/>
      <c r="L28" s="16" t="n"/>
      <c r="M28" s="16" t="n"/>
      <c r="N28" s="16" t="n"/>
      <c r="O28" s="16" t="n"/>
      <c r="P28" s="16" t="n"/>
    </row>
    <row r="29">
      <c r="A29" s="14">
        <f>IF(Portada!$B$7="","",Portada!$B$7)</f>
        <v/>
      </c>
      <c r="B29" s="15" t="inlineStr">
        <is>
          <t>E4</t>
        </is>
      </c>
      <c r="C29" s="15" t="inlineStr">
        <is>
          <t>4.6</t>
        </is>
      </c>
      <c r="D29" s="14" t="inlineStr">
        <is>
          <t>Experiencias en otras instituciones</t>
        </is>
      </c>
      <c r="E29" s="16" t="inlineStr">
        <is>
          <t>sin dato</t>
        </is>
      </c>
      <c r="F29" s="14" t="inlineStr">
        <is>
          <t>EV28 EV29</t>
        </is>
      </c>
      <c r="G29" s="16" t="n"/>
      <c r="H29" s="16" t="n"/>
      <c r="I29" s="16" t="n"/>
      <c r="J29" s="14" t="inlineStr">
        <is>
          <t>ID14</t>
        </is>
      </c>
      <c r="K29" s="16" t="n"/>
      <c r="L29" s="16" t="n"/>
      <c r="M29" s="16" t="n"/>
      <c r="N29" s="16" t="n"/>
      <c r="O29" s="16" t="n"/>
      <c r="P29" s="16" t="n"/>
    </row>
    <row r="30">
      <c r="A30" s="14">
        <f>IF(Portada!$B$7="","",Portada!$B$7)</f>
        <v/>
      </c>
      <c r="B30" s="15" t="inlineStr">
        <is>
          <t>E5</t>
        </is>
      </c>
      <c r="C30" s="15" t="inlineStr">
        <is>
          <t>5.1</t>
        </is>
      </c>
      <c r="D30" s="14" t="inlineStr">
        <is>
          <t>Infraestructura suficiente y adecuada</t>
        </is>
      </c>
      <c r="E30" s="16" t="inlineStr">
        <is>
          <t>sin dato</t>
        </is>
      </c>
      <c r="F30" s="14" t="inlineStr">
        <is>
          <t>EV30</t>
        </is>
      </c>
      <c r="G30" s="16" t="n"/>
      <c r="H30" s="16" t="n"/>
      <c r="I30" s="16" t="n"/>
      <c r="J30" s="14" t="inlineStr">
        <is>
          <t>ID3 ID17</t>
        </is>
      </c>
      <c r="K30" s="16" t="n"/>
      <c r="L30" s="16" t="n"/>
      <c r="M30" s="16" t="n"/>
      <c r="N30" s="16" t="n"/>
      <c r="O30" s="16" t="n"/>
      <c r="P30" s="16" t="n"/>
    </row>
    <row r="31">
      <c r="A31" s="14">
        <f>IF(Portada!$B$7="","",Portada!$B$7)</f>
        <v/>
      </c>
      <c r="B31" s="15" t="inlineStr">
        <is>
          <t>E5</t>
        </is>
      </c>
      <c r="C31" s="15" t="inlineStr">
        <is>
          <t>5.2</t>
        </is>
      </c>
      <c r="D31" s="14" t="inlineStr">
        <is>
          <t>Equipamiento y mobiliario</t>
        </is>
      </c>
      <c r="E31" s="16" t="inlineStr">
        <is>
          <t>sin dato</t>
        </is>
      </c>
      <c r="F31" s="14" t="inlineStr">
        <is>
          <t>EV30</t>
        </is>
      </c>
      <c r="G31" s="16" t="n"/>
      <c r="H31" s="16" t="n"/>
      <c r="I31" s="16" t="n"/>
      <c r="J31" s="14" t="inlineStr">
        <is>
          <t>ID3 ID17</t>
        </is>
      </c>
      <c r="K31" s="16" t="n"/>
      <c r="L31" s="16" t="n"/>
      <c r="M31" s="16" t="n"/>
      <c r="N31" s="16" t="n"/>
      <c r="O31" s="16" t="n"/>
      <c r="P31" s="16" t="n"/>
    </row>
    <row r="32">
      <c r="A32" s="14">
        <f>IF(Portada!$B$7="","",Portada!$B$7)</f>
        <v/>
      </c>
      <c r="B32" s="15" t="inlineStr">
        <is>
          <t>E5</t>
        </is>
      </c>
      <c r="C32" s="15" t="inlineStr">
        <is>
          <t>5.3</t>
        </is>
      </c>
      <c r="D32" s="14" t="inlineStr">
        <is>
          <t>Tecnologías de información</t>
        </is>
      </c>
      <c r="E32" s="16" t="inlineStr">
        <is>
          <t>sin dato</t>
        </is>
      </c>
      <c r="F32" s="14" t="inlineStr">
        <is>
          <t>EV30</t>
        </is>
      </c>
      <c r="G32" s="16" t="n"/>
      <c r="H32" s="16" t="n"/>
      <c r="I32" s="16" t="n"/>
      <c r="J32" s="14" t="inlineStr">
        <is>
          <t>ID3 ID17</t>
        </is>
      </c>
      <c r="K32" s="16" t="n"/>
      <c r="L32" s="16" t="n"/>
      <c r="M32" s="16" t="n"/>
      <c r="N32" s="16" t="n"/>
      <c r="O32" s="16" t="n"/>
      <c r="P32" s="16" t="n"/>
    </row>
    <row r="33">
      <c r="A33" s="14">
        <f>IF(Portada!$B$7="","",Portada!$B$7)</f>
        <v/>
      </c>
      <c r="B33" s="15" t="inlineStr">
        <is>
          <t>E5</t>
        </is>
      </c>
      <c r="C33" s="15" t="inlineStr">
        <is>
          <t>5.4</t>
        </is>
      </c>
      <c r="D33" s="14" t="inlineStr">
        <is>
          <t>Protocolos y manuales</t>
        </is>
      </c>
      <c r="E33" s="16" t="inlineStr">
        <is>
          <t>sin dato</t>
        </is>
      </c>
      <c r="F33" s="14" t="inlineStr">
        <is>
          <t>EV31</t>
        </is>
      </c>
      <c r="G33" s="16" t="n"/>
      <c r="H33" s="16" t="n"/>
      <c r="I33" s="16" t="n"/>
      <c r="J33" s="14" t="inlineStr"/>
      <c r="K33" s="16" t="n"/>
      <c r="L33" s="16" t="n"/>
      <c r="M33" s="16" t="n"/>
      <c r="N33" s="16" t="n"/>
      <c r="O33" s="16" t="n"/>
      <c r="P33" s="16" t="n"/>
    </row>
    <row r="34">
      <c r="A34" s="14">
        <f>IF(Portada!$B$7="","",Portada!$B$7)</f>
        <v/>
      </c>
      <c r="B34" s="15" t="inlineStr">
        <is>
          <t>E5</t>
        </is>
      </c>
      <c r="C34" s="15" t="inlineStr">
        <is>
          <t>5.5</t>
        </is>
      </c>
      <c r="D34" s="14" t="inlineStr">
        <is>
          <t>Recursos académicos y bases de datos</t>
        </is>
      </c>
      <c r="E34" s="16" t="inlineStr">
        <is>
          <t>sin dato</t>
        </is>
      </c>
      <c r="F34" s="14" t="inlineStr">
        <is>
          <t>EV32</t>
        </is>
      </c>
      <c r="G34" s="16" t="n"/>
      <c r="H34" s="16" t="n"/>
      <c r="I34" s="16" t="n"/>
      <c r="J34" s="14" t="inlineStr">
        <is>
          <t>ID3 ID17</t>
        </is>
      </c>
      <c r="K34" s="16" t="n"/>
      <c r="L34" s="16" t="n"/>
      <c r="M34" s="16" t="n"/>
      <c r="N34" s="16" t="n"/>
      <c r="O34" s="16" t="n"/>
      <c r="P34" s="16" t="n"/>
    </row>
    <row r="35">
      <c r="A35" s="14">
        <f>IF(Portada!$B$7="","",Portada!$B$7)</f>
        <v/>
      </c>
      <c r="B35" s="15" t="inlineStr">
        <is>
          <t>E5</t>
        </is>
      </c>
      <c r="C35" s="15" t="inlineStr">
        <is>
          <t>5.6</t>
        </is>
      </c>
      <c r="D35" s="14" t="inlineStr">
        <is>
          <t>Plan de mantenimiento</t>
        </is>
      </c>
      <c r="E35" s="16" t="inlineStr">
        <is>
          <t>sin dato</t>
        </is>
      </c>
      <c r="F35" s="14" t="inlineStr">
        <is>
          <t>EV33</t>
        </is>
      </c>
      <c r="G35" s="16" t="n"/>
      <c r="H35" s="16" t="n"/>
      <c r="I35" s="16" t="n"/>
      <c r="J35" s="14" t="inlineStr"/>
      <c r="K35" s="16" t="n"/>
      <c r="L35" s="16" t="n"/>
      <c r="M35" s="16" t="n"/>
      <c r="N35" s="16" t="n"/>
      <c r="O35" s="16" t="n"/>
      <c r="P35" s="16" t="n"/>
    </row>
    <row r="36">
      <c r="A36" s="14">
        <f>IF(Portada!$B$7="","",Portada!$B$7)</f>
        <v/>
      </c>
      <c r="B36" s="15" t="inlineStr">
        <is>
          <t>E6</t>
        </is>
      </c>
      <c r="C36" s="15" t="inlineStr">
        <is>
          <t>6.1</t>
        </is>
      </c>
      <c r="D36" s="14" t="inlineStr">
        <is>
          <t>Currículo con impacto positivo</t>
        </is>
      </c>
      <c r="E36" s="16" t="inlineStr">
        <is>
          <t>sin dato</t>
        </is>
      </c>
      <c r="F36" s="14" t="inlineStr">
        <is>
          <t>EV34 EV35</t>
        </is>
      </c>
      <c r="G36" s="16" t="n"/>
      <c r="H36" s="16" t="n"/>
      <c r="I36" s="16" t="n"/>
      <c r="J36" s="14" t="inlineStr">
        <is>
          <t>ID10 ID20 ID26 ID27 ID28 ID29</t>
        </is>
      </c>
      <c r="K36" s="16" t="n"/>
      <c r="L36" s="16" t="n"/>
      <c r="M36" s="16" t="n"/>
      <c r="N36" s="16" t="n"/>
      <c r="O36" s="16" t="n"/>
      <c r="P36" s="16" t="n"/>
    </row>
    <row r="37">
      <c r="A37" s="14">
        <f>IF(Portada!$B$7="","",Portada!$B$7)</f>
        <v/>
      </c>
      <c r="B37" s="15" t="inlineStr">
        <is>
          <t>E6</t>
        </is>
      </c>
      <c r="C37" s="15" t="inlineStr">
        <is>
          <t>6.2</t>
        </is>
      </c>
      <c r="D37" s="14" t="inlineStr">
        <is>
          <t>Impacto en egresados (cinco años)</t>
        </is>
      </c>
      <c r="E37" s="16" t="inlineStr">
        <is>
          <t>sin dato</t>
        </is>
      </c>
      <c r="F37" s="14" t="inlineStr">
        <is>
          <t>EV34</t>
        </is>
      </c>
      <c r="G37" s="16" t="n"/>
      <c r="H37" s="16" t="n"/>
      <c r="I37" s="16" t="n"/>
      <c r="J37" s="14" t="inlineStr">
        <is>
          <t>ID20 ID22 ID26 ID27 ID28 ID29</t>
        </is>
      </c>
      <c r="K37" s="16" t="n"/>
      <c r="L37" s="16" t="n"/>
      <c r="M37" s="16" t="n"/>
      <c r="N37" s="16" t="n"/>
      <c r="O37" s="16" t="n"/>
      <c r="P37" s="16" t="n"/>
    </row>
    <row r="38">
      <c r="A38" s="14">
        <f>IF(Portada!$B$7="","",Portada!$B$7)</f>
        <v/>
      </c>
      <c r="B38" s="15" t="inlineStr">
        <is>
          <t>E6</t>
        </is>
      </c>
      <c r="C38" s="15" t="inlineStr">
        <is>
          <t>6.3</t>
        </is>
      </c>
      <c r="D38" s="14" t="inlineStr">
        <is>
          <t>Consulta a empleadores</t>
        </is>
      </c>
      <c r="E38" s="16" t="inlineStr">
        <is>
          <t>sin dato</t>
        </is>
      </c>
      <c r="F38" s="14" t="inlineStr">
        <is>
          <t>EV35</t>
        </is>
      </c>
      <c r="G38" s="16" t="n"/>
      <c r="H38" s="16" t="n"/>
      <c r="I38" s="16" t="n"/>
      <c r="J38" s="14" t="inlineStr">
        <is>
          <t>ID26 ID27 ID28 ID29</t>
        </is>
      </c>
      <c r="K38" s="16" t="n"/>
      <c r="L38" s="16" t="n"/>
      <c r="M38" s="16" t="n"/>
      <c r="N38" s="16" t="n"/>
      <c r="O38" s="16" t="n"/>
      <c r="P38" s="16" t="n"/>
    </row>
    <row r="39">
      <c r="A39" s="14">
        <f>IF(Portada!$B$7="","",Portada!$B$7)</f>
        <v/>
      </c>
      <c r="B39" s="15" t="inlineStr">
        <is>
          <t>E6</t>
        </is>
      </c>
      <c r="C39" s="15" t="inlineStr">
        <is>
          <t>6.4</t>
        </is>
      </c>
      <c r="D39" s="14" t="inlineStr">
        <is>
          <t>Planes de mejora</t>
        </is>
      </c>
      <c r="E39" s="16" t="inlineStr">
        <is>
          <t>sin dato</t>
        </is>
      </c>
      <c r="F39" s="14" t="inlineStr">
        <is>
          <t>EV36</t>
        </is>
      </c>
      <c r="G39" s="16" t="n"/>
      <c r="H39" s="16" t="n"/>
      <c r="I39" s="16" t="n"/>
      <c r="J39" s="14" t="inlineStr"/>
      <c r="K39" s="16" t="n"/>
      <c r="L39" s="16" t="n"/>
      <c r="M39" s="16" t="n"/>
      <c r="N39" s="16" t="n"/>
      <c r="O39" s="16" t="n"/>
      <c r="P39" s="16" t="n"/>
    </row>
    <row r="40">
      <c r="A40" s="14">
        <f>IF(Portada!$B$7="","",Portada!$B$7)</f>
        <v/>
      </c>
      <c r="B40" s="15" t="inlineStr">
        <is>
          <t>E6</t>
        </is>
      </c>
      <c r="C40" s="15" t="inlineStr">
        <is>
          <t>6.5</t>
        </is>
      </c>
      <c r="D40" s="14" t="inlineStr">
        <is>
          <t>Procedimientos en el SGC</t>
        </is>
      </c>
      <c r="E40" s="16" t="inlineStr">
        <is>
          <t>sin dato</t>
        </is>
      </c>
      <c r="F40" s="14" t="inlineStr">
        <is>
          <t>EV36</t>
        </is>
      </c>
      <c r="G40" s="16" t="n"/>
      <c r="H40" s="16" t="n"/>
      <c r="I40" s="16" t="n"/>
      <c r="J40" s="14" t="inlineStr"/>
      <c r="K40" s="16" t="n"/>
      <c r="L40" s="16" t="n"/>
      <c r="M40" s="16" t="n"/>
      <c r="N40" s="16" t="n"/>
      <c r="O40" s="16" t="n"/>
      <c r="P40" s="16" t="n"/>
    </row>
    <row r="41">
      <c r="A41" s="14">
        <f>IF(Portada!$B$7="","",Portada!$B$7)</f>
        <v/>
      </c>
      <c r="B41" s="15" t="inlineStr">
        <is>
          <t>E7</t>
        </is>
      </c>
      <c r="C41" s="15" t="inlineStr">
        <is>
          <t>7.1</t>
        </is>
      </c>
      <c r="D41" s="14" t="inlineStr">
        <is>
          <t>Programas de bienestar</t>
        </is>
      </c>
      <c r="E41" s="16" t="inlineStr">
        <is>
          <t>sin dato</t>
        </is>
      </c>
      <c r="F41" s="14" t="inlineStr">
        <is>
          <t>EV37</t>
        </is>
      </c>
      <c r="G41" s="16" t="n"/>
      <c r="H41" s="16" t="n"/>
      <c r="I41" s="16" t="n"/>
      <c r="J41" s="14" t="inlineStr"/>
      <c r="K41" s="16" t="n"/>
      <c r="L41" s="16" t="n"/>
      <c r="M41" s="16" t="n"/>
      <c r="N41" s="16" t="n"/>
      <c r="O41" s="16" t="n"/>
      <c r="P41" s="16" t="n"/>
    </row>
    <row r="42">
      <c r="A42" s="14">
        <f>IF(Portada!$B$7="","",Portada!$B$7)</f>
        <v/>
      </c>
      <c r="B42" s="15" t="inlineStr">
        <is>
          <t>E7</t>
        </is>
      </c>
      <c r="C42" s="15" t="inlineStr">
        <is>
          <t>7.2</t>
        </is>
      </c>
      <c r="D42" s="14" t="inlineStr">
        <is>
          <t>Servicios de apoyo al estudiante</t>
        </is>
      </c>
      <c r="E42" s="16" t="inlineStr">
        <is>
          <t>sin dato</t>
        </is>
      </c>
      <c r="F42" s="14" t="inlineStr">
        <is>
          <t>EV38</t>
        </is>
      </c>
      <c r="G42" s="16" t="n"/>
      <c r="H42" s="16" t="n"/>
      <c r="I42" s="16" t="n"/>
      <c r="J42" s="14" t="inlineStr">
        <is>
          <t>ID24</t>
        </is>
      </c>
      <c r="K42" s="16" t="n"/>
      <c r="L42" s="16" t="n"/>
      <c r="M42" s="16" t="n"/>
      <c r="N42" s="16" t="n"/>
      <c r="O42" s="16" t="n"/>
      <c r="P42" s="16" t="n"/>
    </row>
    <row r="43">
      <c r="A43" s="14">
        <f>IF(Portada!$B$7="","",Portada!$B$7)</f>
        <v/>
      </c>
      <c r="B43" s="15" t="inlineStr">
        <is>
          <t>E7</t>
        </is>
      </c>
      <c r="C43" s="15" t="inlineStr">
        <is>
          <t>7.3</t>
        </is>
      </c>
      <c r="D43" s="14" t="inlineStr">
        <is>
          <t>Personal idóneo y disponibilidad</t>
        </is>
      </c>
      <c r="E43" s="16" t="inlineStr">
        <is>
          <t>sin dato</t>
        </is>
      </c>
      <c r="F43" s="14" t="inlineStr">
        <is>
          <t>EV37 EV38</t>
        </is>
      </c>
      <c r="G43" s="16" t="n"/>
      <c r="H43" s="16" t="n"/>
      <c r="I43" s="16" t="n"/>
      <c r="J43" s="14" t="inlineStr"/>
      <c r="K43" s="16" t="n"/>
      <c r="L43" s="16" t="n"/>
      <c r="M43" s="16" t="n"/>
      <c r="N43" s="16" t="n"/>
      <c r="O43" s="16" t="n"/>
      <c r="P43" s="16" t="n"/>
    </row>
    <row r="44">
      <c r="A44" s="14">
        <f>IF(Portada!$B$7="","",Portada!$B$7)</f>
        <v/>
      </c>
      <c r="B44" s="15" t="inlineStr">
        <is>
          <t>E7</t>
        </is>
      </c>
      <c r="C44" s="15" t="inlineStr">
        <is>
          <t>7.4</t>
        </is>
      </c>
      <c r="D44" s="14" t="inlineStr">
        <is>
          <t>Evaluación periódica y mejora</t>
        </is>
      </c>
      <c r="E44" s="16" t="inlineStr">
        <is>
          <t>sin dato</t>
        </is>
      </c>
      <c r="F44" s="14" t="inlineStr">
        <is>
          <t>EV39</t>
        </is>
      </c>
      <c r="G44" s="16" t="n"/>
      <c r="H44" s="16" t="n"/>
      <c r="I44" s="16" t="n"/>
      <c r="J44" s="14" t="inlineStr">
        <is>
          <t>ID7 ID9 ID23 ID24</t>
        </is>
      </c>
      <c r="K44" s="16" t="n"/>
      <c r="L44" s="16" t="n"/>
      <c r="M44" s="16" t="n"/>
      <c r="N44" s="16" t="n"/>
      <c r="O44" s="16" t="n"/>
      <c r="P44" s="16" t="n"/>
    </row>
    <row r="45">
      <c r="A45" s="14">
        <f>IF(Portada!$B$7="","",Portada!$B$7)</f>
        <v/>
      </c>
      <c r="B45" s="15" t="inlineStr">
        <is>
          <t>E8</t>
        </is>
      </c>
      <c r="C45" s="15" t="inlineStr">
        <is>
          <t>8.1</t>
        </is>
      </c>
      <c r="D45" s="14" t="inlineStr">
        <is>
          <t>Mecanismos de gestión de la información</t>
        </is>
      </c>
      <c r="E45" s="16" t="inlineStr">
        <is>
          <t>sin dato</t>
        </is>
      </c>
      <c r="F45" s="14" t="inlineStr">
        <is>
          <t>EV40</t>
        </is>
      </c>
      <c r="G45" s="16" t="n"/>
      <c r="H45" s="16" t="n"/>
      <c r="I45" s="16" t="n"/>
      <c r="J45" s="14" t="inlineStr"/>
      <c r="K45" s="16" t="n"/>
      <c r="L45" s="16" t="n"/>
      <c r="M45" s="16" t="n"/>
      <c r="N45" s="16" t="n"/>
      <c r="O45" s="16" t="n"/>
      <c r="P45" s="16" t="n"/>
    </row>
    <row r="46">
      <c r="A46" s="14">
        <f>IF(Portada!$B$7="","",Portada!$B$7)</f>
        <v/>
      </c>
      <c r="B46" s="15" t="inlineStr">
        <is>
          <t>E8</t>
        </is>
      </c>
      <c r="C46" s="15" t="inlineStr">
        <is>
          <t>8.2</t>
        </is>
      </c>
      <c r="D46" s="14" t="inlineStr">
        <is>
          <t>Información de partes interesadas</t>
        </is>
      </c>
      <c r="E46" s="16" t="inlineStr">
        <is>
          <t>sin dato</t>
        </is>
      </c>
      <c r="F46" s="14" t="inlineStr">
        <is>
          <t>EV41 EV42 EV43 EV44</t>
        </is>
      </c>
      <c r="G46" s="16" t="n"/>
      <c r="H46" s="16" t="n"/>
      <c r="I46" s="16" t="n"/>
      <c r="J46" s="14" t="inlineStr">
        <is>
          <t>ID1 ID2 ID3 ID4 ID5 ID6 ID7 ID8 ID9 ID12 ID13 ID14 ID15 ID16 ID17 ID18 ID20 ID21 ID22 ID23 ID24 ID26 ID27 ID28 ID29</t>
        </is>
      </c>
      <c r="K46" s="16" t="n"/>
      <c r="L46" s="16" t="n"/>
      <c r="M46" s="16" t="n"/>
      <c r="N46" s="16" t="n"/>
      <c r="O46" s="16" t="n"/>
      <c r="P46" s="16" t="n"/>
    </row>
    <row r="47">
      <c r="A47" s="14">
        <f>IF(Portada!$B$7="","",Portada!$B$7)</f>
        <v/>
      </c>
      <c r="B47" s="15" t="inlineStr">
        <is>
          <t>E8</t>
        </is>
      </c>
      <c r="C47" s="15" t="inlineStr">
        <is>
          <t>8.3</t>
        </is>
      </c>
      <c r="D47" s="14" t="inlineStr">
        <is>
          <t>Información de desempeño docente</t>
        </is>
      </c>
      <c r="E47" s="16" t="inlineStr">
        <is>
          <t>sin dato</t>
        </is>
      </c>
      <c r="F47" s="14" t="inlineStr">
        <is>
          <t>EV42 EV25</t>
        </is>
      </c>
      <c r="G47" s="16" t="n"/>
      <c r="H47" s="16" t="n"/>
      <c r="I47" s="16" t="n"/>
      <c r="J47" s="14" t="inlineStr">
        <is>
          <t>ID2 ID19</t>
        </is>
      </c>
      <c r="K47" s="16" t="n"/>
      <c r="L47" s="16" t="n"/>
      <c r="M47" s="16" t="n"/>
      <c r="N47" s="16" t="n"/>
      <c r="O47" s="16" t="n"/>
      <c r="P47" s="16" t="n"/>
    </row>
    <row r="48">
      <c r="A48" s="14">
        <f>IF(Portada!$B$7="","",Portada!$B$7)</f>
        <v/>
      </c>
      <c r="B48" s="15" t="inlineStr">
        <is>
          <t>E8</t>
        </is>
      </c>
      <c r="C48" s="15" t="inlineStr">
        <is>
          <t>8.4</t>
        </is>
      </c>
      <c r="D48" s="14" t="inlineStr">
        <is>
          <t>Información de evaluación del aprendizaje</t>
        </is>
      </c>
      <c r="E48" s="16" t="inlineStr">
        <is>
          <t>sin dato</t>
        </is>
      </c>
      <c r="F48" s="14" t="inlineStr">
        <is>
          <t>EV41 EV17</t>
        </is>
      </c>
      <c r="G48" s="16" t="n"/>
      <c r="H48" s="16" t="n"/>
      <c r="I48" s="16" t="n"/>
      <c r="J48" s="14" t="inlineStr">
        <is>
          <t>ID4 ID10</t>
        </is>
      </c>
      <c r="K48" s="16" t="n"/>
      <c r="L48" s="16" t="n"/>
      <c r="M48" s="16" t="n"/>
      <c r="N48" s="16" t="n"/>
      <c r="O48" s="16" t="n"/>
      <c r="P48" s="16" t="n"/>
    </row>
    <row r="49">
      <c r="A49" s="14">
        <f>IF(Portada!$B$7="","",Portada!$B$7)</f>
        <v/>
      </c>
      <c r="B49" s="15" t="inlineStr">
        <is>
          <t>E8</t>
        </is>
      </c>
      <c r="C49" s="15" t="inlineStr">
        <is>
          <t>8.5</t>
        </is>
      </c>
      <c r="D49" s="14" t="inlineStr">
        <is>
          <t>Información de graduación y titulación</t>
        </is>
      </c>
      <c r="E49" s="16" t="inlineStr">
        <is>
          <t>sin dato</t>
        </is>
      </c>
      <c r="F49" s="14" t="inlineStr">
        <is>
          <t>EV43 EV17</t>
        </is>
      </c>
      <c r="G49" s="16" t="n"/>
      <c r="H49" s="16" t="n"/>
      <c r="I49" s="16" t="n"/>
      <c r="J49" s="14" t="inlineStr">
        <is>
          <t>ID25 ID28 ID29</t>
        </is>
      </c>
      <c r="K49" s="16" t="n"/>
      <c r="L49" s="16" t="n"/>
      <c r="M49" s="16" t="n"/>
      <c r="N49" s="16" t="n"/>
      <c r="O49" s="16" t="n"/>
      <c r="P49" s="16" t="n"/>
    </row>
    <row r="50">
      <c r="A50" s="14">
        <f>IF(Portada!$B$7="","",Portada!$B$7)</f>
        <v/>
      </c>
      <c r="B50" s="15" t="inlineStr">
        <is>
          <t>E8</t>
        </is>
      </c>
      <c r="C50" s="15" t="inlineStr">
        <is>
          <t>8.6</t>
        </is>
      </c>
      <c r="D50" s="14" t="inlineStr">
        <is>
          <t>Información accesible para decidir</t>
        </is>
      </c>
      <c r="E50" s="16" t="inlineStr">
        <is>
          <t>sin dato</t>
        </is>
      </c>
      <c r="F50" s="14" t="inlineStr">
        <is>
          <t>EV40 EV41 EV42 EV43 EV44</t>
        </is>
      </c>
      <c r="G50" s="16" t="n"/>
      <c r="H50" s="16" t="n"/>
      <c r="I50" s="16" t="n"/>
      <c r="J50" s="14" t="inlineStr"/>
      <c r="K50" s="16" t="n"/>
      <c r="L50" s="16" t="n"/>
      <c r="M50" s="16" t="n"/>
      <c r="N50" s="16" t="n"/>
      <c r="O50" s="16" t="n"/>
      <c r="P50" s="16" t="n"/>
    </row>
    <row r="51">
      <c r="A51" s="14">
        <f>IF(Portada!$B$7="","",Portada!$B$7)</f>
        <v/>
      </c>
      <c r="B51" s="15" t="inlineStr">
        <is>
          <t>E9</t>
        </is>
      </c>
      <c r="C51" s="15" t="inlineStr">
        <is>
          <t>9.1</t>
        </is>
      </c>
      <c r="D51" s="14" t="inlineStr">
        <is>
          <t>Evaluación periódica del currículo</t>
        </is>
      </c>
      <c r="E51" s="16" t="inlineStr">
        <is>
          <t>sin dato</t>
        </is>
      </c>
      <c r="F51" s="14" t="inlineStr">
        <is>
          <t>EV45 EV46</t>
        </is>
      </c>
      <c r="G51" s="16" t="n"/>
      <c r="H51" s="16" t="n"/>
      <c r="I51" s="16" t="n"/>
      <c r="J51" s="14" t="inlineStr"/>
      <c r="K51" s="16" t="n"/>
      <c r="L51" s="16" t="n"/>
      <c r="M51" s="16" t="n"/>
      <c r="N51" s="16" t="n"/>
      <c r="O51" s="16" t="n"/>
      <c r="P51" s="16" t="n"/>
    </row>
    <row r="52">
      <c r="A52" s="14">
        <f>IF(Portada!$B$7="","",Portada!$B$7)</f>
        <v/>
      </c>
      <c r="B52" s="15" t="inlineStr">
        <is>
          <t>E9</t>
        </is>
      </c>
      <c r="C52" s="15" t="inlineStr">
        <is>
          <t>9.2</t>
        </is>
      </c>
      <c r="D52" s="14" t="inlineStr">
        <is>
          <t>Registro histórico de cambios curriculares</t>
        </is>
      </c>
      <c r="E52" s="16" t="inlineStr">
        <is>
          <t>sin dato</t>
        </is>
      </c>
      <c r="F52" s="14" t="inlineStr">
        <is>
          <t>EV47</t>
        </is>
      </c>
      <c r="G52" s="16" t="n"/>
      <c r="H52" s="16" t="n"/>
      <c r="I52" s="16" t="n"/>
      <c r="J52" s="14" t="inlineStr"/>
      <c r="K52" s="16" t="n"/>
      <c r="L52" s="16" t="n"/>
      <c r="M52" s="16" t="n"/>
      <c r="N52" s="16" t="n"/>
      <c r="O52" s="16" t="n"/>
      <c r="P52" s="16" t="n"/>
    </row>
    <row r="53">
      <c r="A53" s="14">
        <f>IF(Portada!$B$7="","",Portada!$B$7)</f>
        <v/>
      </c>
      <c r="B53" s="15" t="inlineStr">
        <is>
          <t>E9</t>
        </is>
      </c>
      <c r="C53" s="15" t="inlineStr">
        <is>
          <t>9.3</t>
        </is>
      </c>
      <c r="D53" s="14" t="inlineStr">
        <is>
          <t>Supervisión de actividades lectivas</t>
        </is>
      </c>
      <c r="E53" s="16" t="inlineStr">
        <is>
          <t>sin dato</t>
        </is>
      </c>
      <c r="F53" s="14" t="inlineStr">
        <is>
          <t>EV48</t>
        </is>
      </c>
      <c r="G53" s="16" t="n"/>
      <c r="H53" s="16" t="n"/>
      <c r="I53" s="16" t="n"/>
      <c r="J53" s="14" t="inlineStr">
        <is>
          <t>ID11</t>
        </is>
      </c>
      <c r="K53" s="16" t="n"/>
      <c r="L53" s="16" t="n"/>
      <c r="M53" s="16" t="n"/>
      <c r="N53" s="16" t="n"/>
      <c r="O53" s="16" t="n"/>
      <c r="P53" s="16" t="n"/>
    </row>
    <row r="54">
      <c r="A54" s="14">
        <f>IF(Portada!$B$7="","",Portada!$B$7)</f>
        <v/>
      </c>
      <c r="B54" s="15" t="inlineStr">
        <is>
          <t>E10</t>
        </is>
      </c>
      <c r="C54" s="15" t="inlineStr">
        <is>
          <t>10.1</t>
        </is>
      </c>
      <c r="D54" s="14" t="inlineStr">
        <is>
          <t>Diseño del SGC</t>
        </is>
      </c>
      <c r="E54" s="16" t="inlineStr">
        <is>
          <t>sin dato</t>
        </is>
      </c>
      <c r="F54" s="14" t="inlineStr">
        <is>
          <t>EV49</t>
        </is>
      </c>
      <c r="G54" s="16" t="n"/>
      <c r="H54" s="16" t="n"/>
      <c r="I54" s="16" t="n"/>
      <c r="J54" s="14" t="inlineStr"/>
      <c r="K54" s="16" t="n"/>
      <c r="L54" s="16" t="n"/>
      <c r="M54" s="16" t="n"/>
      <c r="N54" s="16" t="n"/>
      <c r="O54" s="16" t="n"/>
      <c r="P54" s="16" t="n"/>
    </row>
    <row r="55">
      <c r="A55" s="14">
        <f>IF(Portada!$B$7="","",Portada!$B$7)</f>
        <v/>
      </c>
      <c r="B55" s="15" t="inlineStr">
        <is>
          <t>E10</t>
        </is>
      </c>
      <c r="C55" s="15" t="inlineStr">
        <is>
          <t>10.2</t>
        </is>
      </c>
      <c r="D55" s="14" t="inlineStr">
        <is>
          <t>Procesos mínimos del SGC</t>
        </is>
      </c>
      <c r="E55" s="16" t="inlineStr">
        <is>
          <t>sin dato</t>
        </is>
      </c>
      <c r="F55" s="14" t="inlineStr">
        <is>
          <t>EV50</t>
        </is>
      </c>
      <c r="G55" s="16" t="n"/>
      <c r="H55" s="16" t="n"/>
      <c r="I55" s="16" t="n"/>
      <c r="J55" s="14" t="inlineStr"/>
      <c r="K55" s="16" t="n"/>
      <c r="L55" s="16" t="n"/>
      <c r="M55" s="16" t="n"/>
      <c r="N55" s="16" t="n"/>
      <c r="O55" s="16" t="n"/>
      <c r="P55" s="16" t="n"/>
    </row>
    <row r="56">
      <c r="A56" s="14">
        <f>IF(Portada!$B$7="","",Portada!$B$7)</f>
        <v/>
      </c>
      <c r="B56" s="15" t="inlineStr">
        <is>
          <t>E10</t>
        </is>
      </c>
      <c r="C56" s="15" t="inlineStr">
        <is>
          <t>10.3</t>
        </is>
      </c>
      <c r="D56" s="14" t="inlineStr">
        <is>
          <t>Registro histórico del SGC</t>
        </is>
      </c>
      <c r="E56" s="16" t="inlineStr">
        <is>
          <t>sin dato</t>
        </is>
      </c>
      <c r="F56" s="14" t="inlineStr">
        <is>
          <t>EV51</t>
        </is>
      </c>
      <c r="G56" s="16" t="n"/>
      <c r="H56" s="16" t="n"/>
      <c r="I56" s="16" t="n"/>
      <c r="J56" s="14" t="inlineStr"/>
      <c r="K56" s="16" t="n"/>
      <c r="L56" s="16" t="n"/>
      <c r="M56" s="16" t="n"/>
      <c r="N56" s="16" t="n"/>
      <c r="O56" s="16" t="n"/>
      <c r="P56" s="16" t="n"/>
    </row>
    <row r="57">
      <c r="A57" s="14">
        <f>IF(Portada!$B$7="","",Portada!$B$7)</f>
        <v/>
      </c>
      <c r="B57" s="15" t="inlineStr">
        <is>
          <t>E10</t>
        </is>
      </c>
      <c r="C57" s="15" t="inlineStr">
        <is>
          <t>10.4</t>
        </is>
      </c>
      <c r="D57" s="14" t="inlineStr">
        <is>
          <t>Evaluación periódica del SGC</t>
        </is>
      </c>
      <c r="E57" s="16" t="inlineStr">
        <is>
          <t>sin dato</t>
        </is>
      </c>
      <c r="F57" s="14" t="inlineStr">
        <is>
          <t>EV52</t>
        </is>
      </c>
      <c r="G57" s="16" t="n"/>
      <c r="H57" s="16" t="n"/>
      <c r="I57" s="16" t="n"/>
      <c r="J57" s="14" t="inlineStr"/>
      <c r="K57" s="16" t="n"/>
      <c r="L57" s="16" t="n"/>
      <c r="M57" s="16" t="n"/>
      <c r="N57" s="16" t="n"/>
      <c r="O57" s="16" t="n"/>
      <c r="P57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P57"/>
  <dataValidations count="2">
    <dataValidation sqref="E5:E57" showDropDown="0" showInputMessage="0" showErrorMessage="1" allowBlank="0" errorTitle="Valor no válido" error="Elige un valor de la lista." type="list">
      <formula1>"L,LP,Por definir,No desarrollado,sin dato"</formula1>
    </dataValidation>
    <dataValidation sqref="I5:I57" showDropDown="0" showInputMessage="0" showErrorMessage="1" allowBlank="1" errorTitle="Valor no válido" error="Elige un valor de la lista." type="list">
      <formula1>"Alta,Media,Baja"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/>
  </sheetPr>
  <dimension ref="A1:Q3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60" customWidth="1" min="3" max="3"/>
    <col width="10" customWidth="1" min="4" max="4"/>
    <col width="12" customWidth="1" min="5" max="5"/>
    <col width="11" customWidth="1" min="6" max="6"/>
    <col width="24" customWidth="1" min="7" max="7"/>
    <col width="22" customWidth="1" min="8" max="8"/>
    <col width="14" customWidth="1" min="9" max="9"/>
    <col width="24" customWidth="1" min="10" max="10"/>
    <col width="28" customWidth="1" min="11" max="11"/>
    <col width="40" customWidth="1" min="12" max="12"/>
    <col width="18" customWidth="1" min="13" max="13"/>
    <col width="40" customWidth="1" min="14" max="14"/>
    <col width="30" customWidth="1" min="15" max="15"/>
    <col width="36" customWidth="1" min="16" max="16"/>
    <col width="22" customWidth="1" min="17" max="17"/>
  </cols>
  <sheetData>
    <row r="1">
      <c r="A1" s="1" t="inlineStr">
        <is>
          <t>Valores de los 29 indicadores en el informe de autoevaluación (solo referencia)</t>
        </is>
      </c>
    </row>
    <row r="2">
      <c r="A2" s="2" t="inlineStr">
        <is>
          <t>Misma lista para las tres escuelas. Son los valores que trae el informe, sin validar: no intervienen en semáforos, alertas ni gráficos. El referencial es el del Modelo CONEAU 2026 [A4].</t>
        </is>
      </c>
    </row>
    <row r="4" ht="32" customHeight="1">
      <c r="A4" s="5" t="inlineStr">
        <is>
          <t>escuela</t>
        </is>
      </c>
      <c r="B4" s="5" t="inlineStr">
        <is>
          <t>indicador_id</t>
        </is>
      </c>
      <c r="C4" s="5" t="inlineStr">
        <is>
          <t>nombre</t>
        </is>
      </c>
      <c r="D4" s="5" t="inlineStr">
        <is>
          <t>unidad_modelo</t>
        </is>
      </c>
      <c r="E4" s="5" t="inlineStr">
        <is>
          <t>valor_informe</t>
        </is>
      </c>
      <c r="F4" s="5" t="inlineStr">
        <is>
          <t>referencial</t>
        </is>
      </c>
      <c r="G4" s="5" t="inlineStr">
        <is>
          <t>referencial_texto</t>
        </is>
      </c>
      <c r="H4" s="5" t="inlineStr">
        <is>
          <t>fuente_referencial</t>
        </is>
      </c>
      <c r="I4" s="5" t="inlineStr">
        <is>
          <t>referencial_en_informe</t>
        </is>
      </c>
      <c r="J4" s="5" t="inlineStr">
        <is>
          <t>estado_que_declara_el_informe</t>
        </is>
      </c>
      <c r="K4" s="5" t="inlineStr">
        <is>
          <t>calculo</t>
        </is>
      </c>
      <c r="L4" s="5" t="inlineStr">
        <is>
          <t>observacion</t>
        </is>
      </c>
      <c r="M4" s="5" t="inlineStr">
        <is>
          <t>estado</t>
        </is>
      </c>
      <c r="N4" s="5" t="inlineStr">
        <is>
          <t>uso</t>
        </is>
      </c>
      <c r="O4" s="5" t="inlineStr">
        <is>
          <t>archivo</t>
        </is>
      </c>
      <c r="P4" s="5" t="inlineStr">
        <is>
          <t>fuente</t>
        </is>
      </c>
      <c r="Q4" s="5" t="inlineStr">
        <is>
          <t>origen</t>
        </is>
      </c>
    </row>
    <row r="5">
      <c r="A5" s="14">
        <f>IF(Portada!$B$7="","",Portada!$B$7)</f>
        <v/>
      </c>
      <c r="B5" s="14" t="inlineStr">
        <is>
          <t>ID1</t>
        </is>
      </c>
      <c r="C5" s="14" t="inlineStr">
        <is>
          <t>Porcentaje de estudiantes satisfechos con el currículo</t>
        </is>
      </c>
      <c r="D5" s="14" t="inlineStr">
        <is>
          <t>%</t>
        </is>
      </c>
      <c r="E5" s="16" t="n"/>
      <c r="F5" s="14" t="n">
        <v>60</v>
      </c>
      <c r="G5" s="14" t="inlineStr">
        <is>
          <t>60%</t>
        </is>
      </c>
      <c r="H5" s="14" t="inlineStr">
        <is>
          <t>Modelo CONEAU 2026 [A4]</t>
        </is>
      </c>
      <c r="I5" s="16" t="n"/>
      <c r="J5" s="16" t="n"/>
      <c r="K5" s="16" t="n"/>
      <c r="L5" s="16" t="n"/>
      <c r="M5" s="14">
        <f>IF(E5="","sin dato","Sin dato validado")</f>
        <v/>
      </c>
      <c r="N5" s="14" t="inlineStr">
        <is>
          <t>Solo referencia: no interviene en semáforos, alertas ni gráficos</t>
        </is>
      </c>
      <c r="O5" s="16" t="n"/>
      <c r="P5" s="16" t="n"/>
      <c r="Q5" s="16" t="n"/>
    </row>
    <row r="6">
      <c r="A6" s="14">
        <f>IF(Portada!$B$7="","",Portada!$B$7)</f>
        <v/>
      </c>
      <c r="B6" s="14" t="inlineStr">
        <is>
          <t>ID2</t>
        </is>
      </c>
      <c r="C6" s="14" t="inlineStr">
        <is>
          <t>Porcentaje de estudiantes satisfechos con el desempeño docente</t>
        </is>
      </c>
      <c r="D6" s="14" t="inlineStr">
        <is>
          <t>%</t>
        </is>
      </c>
      <c r="E6" s="16" t="n"/>
      <c r="F6" s="14" t="n">
        <v>70</v>
      </c>
      <c r="G6" s="14" t="inlineStr">
        <is>
          <t>70%</t>
        </is>
      </c>
      <c r="H6" s="14" t="inlineStr">
        <is>
          <t>Modelo CONEAU 2026 [A4]</t>
        </is>
      </c>
      <c r="I6" s="16" t="n"/>
      <c r="J6" s="16" t="n"/>
      <c r="K6" s="16" t="n"/>
      <c r="L6" s="16" t="n"/>
      <c r="M6" s="14">
        <f>IF(E6="","sin dato","Sin dato validado")</f>
        <v/>
      </c>
      <c r="N6" s="14" t="inlineStr">
        <is>
          <t>Solo referencia: no interviene en semáforos, alertas ni gráficos</t>
        </is>
      </c>
      <c r="O6" s="16" t="n"/>
      <c r="P6" s="16" t="n"/>
      <c r="Q6" s="16" t="n"/>
    </row>
    <row r="7">
      <c r="A7" s="14">
        <f>IF(Portada!$B$7="","",Portada!$B$7)</f>
        <v/>
      </c>
      <c r="B7" s="14" t="inlineStr">
        <is>
          <t>ID3</t>
        </is>
      </c>
      <c r="C7" s="14" t="inlineStr">
        <is>
          <t>Porcentaje de estudiantes satisfechos con los recursos para la enseñanza-aprendizaje</t>
        </is>
      </c>
      <c r="D7" s="14" t="inlineStr">
        <is>
          <t>%</t>
        </is>
      </c>
      <c r="E7" s="16" t="n"/>
      <c r="F7" s="14" t="n">
        <v>70</v>
      </c>
      <c r="G7" s="14" t="inlineStr">
        <is>
          <t>70%</t>
        </is>
      </c>
      <c r="H7" s="14" t="inlineStr">
        <is>
          <t>Modelo CONEAU 2026 [A4]</t>
        </is>
      </c>
      <c r="I7" s="16" t="n"/>
      <c r="J7" s="16" t="n"/>
      <c r="K7" s="16" t="n"/>
      <c r="L7" s="16" t="n"/>
      <c r="M7" s="14">
        <f>IF(E7="","sin dato","Sin dato validado")</f>
        <v/>
      </c>
      <c r="N7" s="14" t="inlineStr">
        <is>
          <t>Solo referencia: no interviene en semáforos, alertas ni gráficos</t>
        </is>
      </c>
      <c r="O7" s="16" t="n"/>
      <c r="P7" s="16" t="n"/>
      <c r="Q7" s="16" t="n"/>
    </row>
    <row r="8">
      <c r="A8" s="14">
        <f>IF(Portada!$B$7="","",Portada!$B$7)</f>
        <v/>
      </c>
      <c r="B8" s="14" t="inlineStr">
        <is>
          <t>ID4</t>
        </is>
      </c>
      <c r="C8" s="14" t="inlineStr">
        <is>
          <t>Porcentaje de estudiantes satisfechos con la evaluación del aprendizaje</t>
        </is>
      </c>
      <c r="D8" s="14" t="inlineStr">
        <is>
          <t>%</t>
        </is>
      </c>
      <c r="E8" s="16" t="n"/>
      <c r="F8" s="14" t="n">
        <v>60</v>
      </c>
      <c r="G8" s="14" t="inlineStr">
        <is>
          <t>60%</t>
        </is>
      </c>
      <c r="H8" s="14" t="inlineStr">
        <is>
          <t>Modelo CONEAU 2026 [A4]</t>
        </is>
      </c>
      <c r="I8" s="16" t="n"/>
      <c r="J8" s="16" t="n"/>
      <c r="K8" s="16" t="n"/>
      <c r="L8" s="16" t="n"/>
      <c r="M8" s="14">
        <f>IF(E8="","sin dato","Sin dato validado")</f>
        <v/>
      </c>
      <c r="N8" s="14" t="inlineStr">
        <is>
          <t>Solo referencia: no interviene en semáforos, alertas ni gráficos</t>
        </is>
      </c>
      <c r="O8" s="16" t="n"/>
      <c r="P8" s="16" t="n"/>
      <c r="Q8" s="16" t="n"/>
    </row>
    <row r="9">
      <c r="A9" s="14">
        <f>IF(Portada!$B$7="","",Portada!$B$7)</f>
        <v/>
      </c>
      <c r="B9" s="14" t="inlineStr">
        <is>
          <t>ID5</t>
        </is>
      </c>
      <c r="C9" s="14" t="inlineStr">
        <is>
          <t>Porcentaje de estudiantes satisfechos con la asesoría o tutoría para la obtención del título</t>
        </is>
      </c>
      <c r="D9" s="14" t="inlineStr">
        <is>
          <t>%</t>
        </is>
      </c>
      <c r="E9" s="16" t="n"/>
      <c r="F9" s="14" t="n">
        <v>70</v>
      </c>
      <c r="G9" s="14" t="inlineStr">
        <is>
          <t>70%</t>
        </is>
      </c>
      <c r="H9" s="14" t="inlineStr">
        <is>
          <t>Modelo CONEAU 2026 [A4]</t>
        </is>
      </c>
      <c r="I9" s="16" t="n"/>
      <c r="J9" s="16" t="n"/>
      <c r="K9" s="16" t="n"/>
      <c r="L9" s="16" t="n"/>
      <c r="M9" s="14">
        <f>IF(E9="","sin dato","Sin dato validado")</f>
        <v/>
      </c>
      <c r="N9" s="14" t="inlineStr">
        <is>
          <t>Solo referencia: no interviene en semáforos, alertas ni gráficos</t>
        </is>
      </c>
      <c r="O9" s="16" t="n"/>
      <c r="P9" s="16" t="n"/>
      <c r="Q9" s="16" t="n"/>
    </row>
    <row r="10">
      <c r="A10" s="14">
        <f>IF(Portada!$B$7="","",Portada!$B$7)</f>
        <v/>
      </c>
      <c r="B10" s="14" t="inlineStr">
        <is>
          <t>ID6</t>
        </is>
      </c>
      <c r="C10" s="14" t="inlineStr">
        <is>
          <t>Evolución del porcentaje de postulantes al programa</t>
        </is>
      </c>
      <c r="D10" s="14" t="inlineStr">
        <is>
          <t>%</t>
        </is>
      </c>
      <c r="E10" s="16" t="n"/>
      <c r="F10" s="14" t="n">
        <v>0</v>
      </c>
      <c r="G10" s="14" t="inlineStr">
        <is>
          <t>0% (valor referencial del texto)</t>
        </is>
      </c>
      <c r="H10" s="14" t="inlineStr">
        <is>
          <t>Modelo CONEAU 2026 [A4]</t>
        </is>
      </c>
      <c r="I10" s="16" t="n"/>
      <c r="J10" s="16" t="n"/>
      <c r="K10" s="16" t="n"/>
      <c r="L10" s="16" t="n"/>
      <c r="M10" s="14">
        <f>IF(E10="","sin dato","Sin dato validado")</f>
        <v/>
      </c>
      <c r="N10" s="14" t="inlineStr">
        <is>
          <t>Solo referencia: no interviene en semáforos, alertas ni gráficos</t>
        </is>
      </c>
      <c r="O10" s="16" t="n"/>
      <c r="P10" s="16" t="n"/>
      <c r="Q10" s="16" t="n"/>
    </row>
    <row r="11">
      <c r="A11" s="14">
        <f>IF(Portada!$B$7="","",Portada!$B$7)</f>
        <v/>
      </c>
      <c r="B11" s="14" t="inlineStr">
        <is>
          <t>ID7</t>
        </is>
      </c>
      <c r="C11" s="14" t="inlineStr">
        <is>
          <t>Porcentaje de estudiantes satisfechos con los programas de bienestar y actividades recreativas, culturales, artísticas y deportivas</t>
        </is>
      </c>
      <c r="D11" s="14" t="inlineStr">
        <is>
          <t>%</t>
        </is>
      </c>
      <c r="E11" s="16" t="n"/>
      <c r="F11" s="14" t="n">
        <v>70</v>
      </c>
      <c r="G11" s="14" t="inlineStr">
        <is>
          <t>70%</t>
        </is>
      </c>
      <c r="H11" s="14" t="inlineStr">
        <is>
          <t>Modelo CONEAU 2026 [A4]</t>
        </is>
      </c>
      <c r="I11" s="16" t="n"/>
      <c r="J11" s="16" t="n"/>
      <c r="K11" s="16" t="n"/>
      <c r="L11" s="16" t="n"/>
      <c r="M11" s="14">
        <f>IF(E11="","sin dato","Sin dato validado")</f>
        <v/>
      </c>
      <c r="N11" s="14" t="inlineStr">
        <is>
          <t>Solo referencia: no interviene en semáforos, alertas ni gráficos</t>
        </is>
      </c>
      <c r="O11" s="16" t="n"/>
      <c r="P11" s="16" t="n"/>
      <c r="Q11" s="16" t="n"/>
    </row>
    <row r="12">
      <c r="A12" s="14">
        <f>IF(Portada!$B$7="","",Portada!$B$7)</f>
        <v/>
      </c>
      <c r="B12" s="14" t="inlineStr">
        <is>
          <t>ID8</t>
        </is>
      </c>
      <c r="C12" s="14" t="inlineStr">
        <is>
          <t>Porcentaje de estudiantes satisfechos con los procedimientos de los servicios administrativos</t>
        </is>
      </c>
      <c r="D12" s="14" t="inlineStr">
        <is>
          <t>%</t>
        </is>
      </c>
      <c r="E12" s="16" t="n"/>
      <c r="F12" s="14" t="n">
        <v>60</v>
      </c>
      <c r="G12" s="14" t="inlineStr">
        <is>
          <t>60%</t>
        </is>
      </c>
      <c r="H12" s="14" t="inlineStr">
        <is>
          <t>Modelo CONEAU 2026 [A4]</t>
        </is>
      </c>
      <c r="I12" s="16" t="n"/>
      <c r="J12" s="16" t="n"/>
      <c r="K12" s="16" t="n"/>
      <c r="L12" s="16" t="n"/>
      <c r="M12" s="14">
        <f>IF(E12="","sin dato","Sin dato validado")</f>
        <v/>
      </c>
      <c r="N12" s="14" t="inlineStr">
        <is>
          <t>Solo referencia: no interviene en semáforos, alertas ni gráficos</t>
        </is>
      </c>
      <c r="O12" s="16" t="n"/>
      <c r="P12" s="16" t="n"/>
      <c r="Q12" s="16" t="n"/>
    </row>
    <row r="13">
      <c r="A13" s="14">
        <f>IF(Portada!$B$7="","",Portada!$B$7)</f>
        <v/>
      </c>
      <c r="B13" s="14" t="inlineStr">
        <is>
          <t>ID9</t>
        </is>
      </c>
      <c r="C13" s="14" t="inlineStr">
        <is>
          <t>Porcentaje de estudiantes satisfechos con los servicios de apoyo pedagógico</t>
        </is>
      </c>
      <c r="D13" s="14" t="inlineStr">
        <is>
          <t>%</t>
        </is>
      </c>
      <c r="E13" s="16" t="n"/>
      <c r="F13" s="14" t="n">
        <v>70</v>
      </c>
      <c r="G13" s="14" t="inlineStr">
        <is>
          <t>70%</t>
        </is>
      </c>
      <c r="H13" s="14" t="inlineStr">
        <is>
          <t>Modelo CONEAU 2026 [A4]</t>
        </is>
      </c>
      <c r="I13" s="16" t="n"/>
      <c r="J13" s="16" t="n"/>
      <c r="K13" s="16" t="n"/>
      <c r="L13" s="16" t="n"/>
      <c r="M13" s="14">
        <f>IF(E13="","sin dato","Sin dato validado")</f>
        <v/>
      </c>
      <c r="N13" s="14" t="inlineStr">
        <is>
          <t>Solo referencia: no interviene en semáforos, alertas ni gráficos</t>
        </is>
      </c>
      <c r="O13" s="16" t="n"/>
      <c r="P13" s="16" t="n"/>
      <c r="Q13" s="16" t="n"/>
    </row>
    <row r="14">
      <c r="A14" s="14">
        <f>IF(Portada!$B$7="","",Portada!$B$7)</f>
        <v/>
      </c>
      <c r="B14" s="14" t="inlineStr">
        <is>
          <t>ID10</t>
        </is>
      </c>
      <c r="C14" s="14" t="inlineStr">
        <is>
          <t>Porcentaje de estudiantes aprobados por asignatura</t>
        </is>
      </c>
      <c r="D14" s="14" t="inlineStr">
        <is>
          <t>%</t>
        </is>
      </c>
      <c r="E14" s="16" t="n"/>
      <c r="F14" s="14" t="n">
        <v>80</v>
      </c>
      <c r="G14" s="14" t="inlineStr">
        <is>
          <t>80%</t>
        </is>
      </c>
      <c r="H14" s="14" t="inlineStr">
        <is>
          <t>Modelo CONEAU 2026 [A4]</t>
        </is>
      </c>
      <c r="I14" s="16" t="n"/>
      <c r="J14" s="16" t="n"/>
      <c r="K14" s="16" t="n"/>
      <c r="L14" s="16" t="n"/>
      <c r="M14" s="14">
        <f>IF(E14="","sin dato","Sin dato validado")</f>
        <v/>
      </c>
      <c r="N14" s="14" t="inlineStr">
        <is>
          <t>Solo referencia: no interviene en semáforos, alertas ni gráficos</t>
        </is>
      </c>
      <c r="O14" s="16" t="n"/>
      <c r="P14" s="16" t="n"/>
      <c r="Q14" s="16" t="n"/>
    </row>
    <row r="15">
      <c r="A15" s="14">
        <f>IF(Portada!$B$7="","",Portada!$B$7)</f>
        <v/>
      </c>
      <c r="B15" s="14" t="inlineStr">
        <is>
          <t>ID11</t>
        </is>
      </c>
      <c r="C15" s="14" t="inlineStr">
        <is>
          <t>Porcentaje de cumplimiento de los sílabos</t>
        </is>
      </c>
      <c r="D15" s="14" t="inlineStr">
        <is>
          <t>%</t>
        </is>
      </c>
      <c r="E15" s="16" t="n"/>
      <c r="F15" s="14" t="n">
        <v>90</v>
      </c>
      <c r="G15" s="14" t="inlineStr">
        <is>
          <t>90%</t>
        </is>
      </c>
      <c r="H15" s="14" t="inlineStr">
        <is>
          <t>Modelo CONEAU 2026 [A4]</t>
        </is>
      </c>
      <c r="I15" s="16" t="n"/>
      <c r="J15" s="16" t="n"/>
      <c r="K15" s="16" t="n"/>
      <c r="L15" s="16" t="n"/>
      <c r="M15" s="14">
        <f>IF(E15="","sin dato","Sin dato validado")</f>
        <v/>
      </c>
      <c r="N15" s="14" t="inlineStr">
        <is>
          <t>Solo referencia: no interviene en semáforos, alertas ni gráficos</t>
        </is>
      </c>
      <c r="O15" s="16" t="n"/>
      <c r="P15" s="16" t="n"/>
      <c r="Q15" s="16" t="n"/>
    </row>
    <row r="16">
      <c r="A16" s="14">
        <f>IF(Portada!$B$7="","",Portada!$B$7)</f>
        <v/>
      </c>
      <c r="B16" s="14" t="inlineStr">
        <is>
          <t>ID12</t>
        </is>
      </c>
      <c r="C16" s="14" t="inlineStr">
        <is>
          <t>Porcentaje de docentes satisfechos con el currículo</t>
        </is>
      </c>
      <c r="D16" s="14" t="inlineStr">
        <is>
          <t>%</t>
        </is>
      </c>
      <c r="E16" s="16" t="n"/>
      <c r="F16" s="14" t="n">
        <v>70</v>
      </c>
      <c r="G16" s="14" t="inlineStr">
        <is>
          <t>70%</t>
        </is>
      </c>
      <c r="H16" s="14" t="inlineStr">
        <is>
          <t>Modelo CONEAU 2026 [A4]</t>
        </is>
      </c>
      <c r="I16" s="16" t="n"/>
      <c r="J16" s="16" t="n"/>
      <c r="K16" s="16" t="n"/>
      <c r="L16" s="16" t="n"/>
      <c r="M16" s="14">
        <f>IF(E16="","sin dato","Sin dato validado")</f>
        <v/>
      </c>
      <c r="N16" s="14" t="inlineStr">
        <is>
          <t>Solo referencia: no interviene en semáforos, alertas ni gráficos</t>
        </is>
      </c>
      <c r="O16" s="16" t="n"/>
      <c r="P16" s="16" t="n"/>
      <c r="Q16" s="16" t="n"/>
    </row>
    <row r="17">
      <c r="A17" s="14">
        <f>IF(Portada!$B$7="","",Portada!$B$7)</f>
        <v/>
      </c>
      <c r="B17" s="14" t="inlineStr">
        <is>
          <t>ID13</t>
        </is>
      </c>
      <c r="C17" s="14" t="inlineStr">
        <is>
          <t>Porcentaje de docentes a tiempo completo</t>
        </is>
      </c>
      <c r="D17" s="14" t="inlineStr">
        <is>
          <t>%</t>
        </is>
      </c>
      <c r="E17" s="16" t="n"/>
      <c r="F17" s="14" t="n">
        <v>15</v>
      </c>
      <c r="G17" s="14" t="inlineStr">
        <is>
          <t>15%</t>
        </is>
      </c>
      <c r="H17" s="14" t="inlineStr">
        <is>
          <t>Modelo CONEAU 2026 [A4]</t>
        </is>
      </c>
      <c r="I17" s="16" t="n"/>
      <c r="J17" s="16" t="n"/>
      <c r="K17" s="16" t="n"/>
      <c r="L17" s="16" t="n"/>
      <c r="M17" s="14">
        <f>IF(E17="","sin dato","Sin dato validado")</f>
        <v/>
      </c>
      <c r="N17" s="14" t="inlineStr">
        <is>
          <t>Solo referencia: no interviene en semáforos, alertas ni gráficos</t>
        </is>
      </c>
      <c r="O17" s="16" t="n"/>
      <c r="P17" s="16" t="n"/>
      <c r="Q17" s="16" t="n"/>
    </row>
    <row r="18">
      <c r="A18" s="14">
        <f>IF(Portada!$B$7="","",Portada!$B$7)</f>
        <v/>
      </c>
      <c r="B18" s="14" t="inlineStr">
        <is>
          <t>ID14</t>
        </is>
      </c>
      <c r="C18" s="14" t="inlineStr">
        <is>
          <t>Porcentaje de docentes con grado académico de doctor</t>
        </is>
      </c>
      <c r="D18" s="14" t="inlineStr">
        <is>
          <t>%</t>
        </is>
      </c>
      <c r="E18" s="16" t="n"/>
      <c r="F18" s="14" t="n">
        <v>20</v>
      </c>
      <c r="G18" s="14" t="inlineStr">
        <is>
          <t>20%</t>
        </is>
      </c>
      <c r="H18" s="14" t="inlineStr">
        <is>
          <t>Modelo CONEAU 2026 [A4]</t>
        </is>
      </c>
      <c r="I18" s="16" t="n"/>
      <c r="J18" s="16" t="n"/>
      <c r="K18" s="16" t="n"/>
      <c r="L18" s="16" t="n"/>
      <c r="M18" s="14">
        <f>IF(E18="","sin dato","Sin dato validado")</f>
        <v/>
      </c>
      <c r="N18" s="14" t="inlineStr">
        <is>
          <t>Solo referencia: no interviene en semáforos, alertas ni gráficos</t>
        </is>
      </c>
      <c r="O18" s="16" t="n"/>
      <c r="P18" s="16" t="n"/>
      <c r="Q18" s="16" t="n"/>
    </row>
    <row r="19">
      <c r="A19" s="14">
        <f>IF(Portada!$B$7="","",Portada!$B$7)</f>
        <v/>
      </c>
      <c r="B19" s="14" t="inlineStr">
        <is>
          <t>ID15</t>
        </is>
      </c>
      <c r="C19" s="14" t="inlineStr">
        <is>
          <t>Porcentaje de docentes con formación, capacitación o especialización en docencia e investigación en los últimos dos años</t>
        </is>
      </c>
      <c r="D19" s="14" t="inlineStr">
        <is>
          <t>%</t>
        </is>
      </c>
      <c r="E19" s="16" t="n"/>
      <c r="F19" s="14" t="n">
        <v>50</v>
      </c>
      <c r="G19" s="14" t="inlineStr">
        <is>
          <t>50%</t>
        </is>
      </c>
      <c r="H19" s="14" t="inlineStr">
        <is>
          <t>Modelo CONEAU 2026 [A4]</t>
        </is>
      </c>
      <c r="I19" s="16" t="n"/>
      <c r="J19" s="16" t="n"/>
      <c r="K19" s="16" t="n"/>
      <c r="L19" s="16" t="n"/>
      <c r="M19" s="14">
        <f>IF(E19="","sin dato","Sin dato validado")</f>
        <v/>
      </c>
      <c r="N19" s="14" t="inlineStr">
        <is>
          <t>Solo referencia: no interviene en semáforos, alertas ni gráficos</t>
        </is>
      </c>
      <c r="O19" s="16" t="n"/>
      <c r="P19" s="16" t="n"/>
      <c r="Q19" s="16" t="n"/>
    </row>
    <row r="20">
      <c r="A20" s="14">
        <f>IF(Portada!$B$7="","",Portada!$B$7)</f>
        <v/>
      </c>
      <c r="B20" s="14" t="inlineStr">
        <is>
          <t>ID16</t>
        </is>
      </c>
      <c r="C20" s="14" t="inlineStr">
        <is>
          <t>Porcentaje de docentes satisfechos con las actividades de fortalecimiento de capacidades y desarrollo académico</t>
        </is>
      </c>
      <c r="D20" s="14" t="inlineStr">
        <is>
          <t>%</t>
        </is>
      </c>
      <c r="E20" s="16" t="n"/>
      <c r="F20" s="14" t="n">
        <v>70</v>
      </c>
      <c r="G20" s="14" t="inlineStr">
        <is>
          <t>70%</t>
        </is>
      </c>
      <c r="H20" s="14" t="inlineStr">
        <is>
          <t>Modelo CONEAU 2026 [A4]</t>
        </is>
      </c>
      <c r="I20" s="16" t="n"/>
      <c r="J20" s="16" t="n"/>
      <c r="K20" s="16" t="n"/>
      <c r="L20" s="16" t="n"/>
      <c r="M20" s="14">
        <f>IF(E20="","sin dato","Sin dato validado")</f>
        <v/>
      </c>
      <c r="N20" s="14" t="inlineStr">
        <is>
          <t>Solo referencia: no interviene en semáforos, alertas ni gráficos</t>
        </is>
      </c>
      <c r="O20" s="16" t="n"/>
      <c r="P20" s="16" t="n"/>
      <c r="Q20" s="16" t="n"/>
    </row>
    <row r="21">
      <c r="A21" s="14">
        <f>IF(Portada!$B$7="","",Portada!$B$7)</f>
        <v/>
      </c>
      <c r="B21" s="14" t="inlineStr">
        <is>
          <t>ID17</t>
        </is>
      </c>
      <c r="C21" s="14" t="inlineStr">
        <is>
          <t>Porcentaje de docentes satisfechos con los recursos para la enseñanza-aprendizaje</t>
        </is>
      </c>
      <c r="D21" s="14" t="inlineStr">
        <is>
          <t>%</t>
        </is>
      </c>
      <c r="E21" s="16" t="n"/>
      <c r="F21" s="14" t="n">
        <v>70</v>
      </c>
      <c r="G21" s="14" t="inlineStr">
        <is>
          <t>70%</t>
        </is>
      </c>
      <c r="H21" s="14" t="inlineStr">
        <is>
          <t>Modelo CONEAU 2026 [A4]</t>
        </is>
      </c>
      <c r="I21" s="16" t="n"/>
      <c r="J21" s="16" t="n"/>
      <c r="K21" s="16" t="n"/>
      <c r="L21" s="16" t="n"/>
      <c r="M21" s="14">
        <f>IF(E21="","sin dato","Sin dato validado")</f>
        <v/>
      </c>
      <c r="N21" s="14" t="inlineStr">
        <is>
          <t>Solo referencia: no interviene en semáforos, alertas ni gráficos</t>
        </is>
      </c>
      <c r="O21" s="16" t="n"/>
      <c r="P21" s="16" t="n"/>
      <c r="Q21" s="16" t="n"/>
    </row>
    <row r="22">
      <c r="A22" s="14">
        <f>IF(Portada!$B$7="","",Portada!$B$7)</f>
        <v/>
      </c>
      <c r="B22" s="14" t="inlineStr">
        <is>
          <t>ID18</t>
        </is>
      </c>
      <c r="C22" s="14" t="inlineStr">
        <is>
          <t>Porcentaje de docentes satisfechos con los procedimientos de los servicios administrativos</t>
        </is>
      </c>
      <c r="D22" s="14" t="inlineStr">
        <is>
          <t>%</t>
        </is>
      </c>
      <c r="E22" s="16" t="n"/>
      <c r="F22" s="14" t="n">
        <v>75</v>
      </c>
      <c r="G22" s="14" t="inlineStr">
        <is>
          <t>75%</t>
        </is>
      </c>
      <c r="H22" s="14" t="inlineStr">
        <is>
          <t>Modelo CONEAU 2026 [A4]</t>
        </is>
      </c>
      <c r="I22" s="16" t="n"/>
      <c r="J22" s="16" t="n"/>
      <c r="K22" s="16" t="n"/>
      <c r="L22" s="16" t="n"/>
      <c r="M22" s="14">
        <f>IF(E22="","sin dato","Sin dato validado")</f>
        <v/>
      </c>
      <c r="N22" s="14" t="inlineStr">
        <is>
          <t>Solo referencia: no interviene en semáforos, alertas ni gráficos</t>
        </is>
      </c>
      <c r="O22" s="16" t="n"/>
      <c r="P22" s="16" t="n"/>
      <c r="Q22" s="16" t="n"/>
    </row>
    <row r="23">
      <c r="A23" s="14">
        <f>IF(Portada!$B$7="","",Portada!$B$7)</f>
        <v/>
      </c>
      <c r="B23" s="14" t="inlineStr">
        <is>
          <t>ID19</t>
        </is>
      </c>
      <c r="C23" s="14" t="inlineStr">
        <is>
          <t>Porcentaje de docentes con desempeño satisfactorio en opinión de los estudiantes</t>
        </is>
      </c>
      <c r="D23" s="14" t="inlineStr">
        <is>
          <t>%</t>
        </is>
      </c>
      <c r="E23" s="16" t="n"/>
      <c r="F23" s="14" t="n">
        <v>75</v>
      </c>
      <c r="G23" s="14" t="inlineStr">
        <is>
          <t>75%</t>
        </is>
      </c>
      <c r="H23" s="14" t="inlineStr">
        <is>
          <t>Modelo CONEAU 2026 [A4]</t>
        </is>
      </c>
      <c r="I23" s="16" t="n"/>
      <c r="J23" s="16" t="n"/>
      <c r="K23" s="16" t="n"/>
      <c r="L23" s="16" t="n"/>
      <c r="M23" s="14">
        <f>IF(E23="","sin dato","Sin dato validado")</f>
        <v/>
      </c>
      <c r="N23" s="14" t="inlineStr">
        <is>
          <t>Solo referencia: no interviene en semáforos, alertas ni gráficos</t>
        </is>
      </c>
      <c r="O23" s="16" t="n"/>
      <c r="P23" s="16" t="n"/>
      <c r="Q23" s="16" t="n"/>
    </row>
    <row r="24">
      <c r="A24" s="14">
        <f>IF(Portada!$B$7="","",Portada!$B$7)</f>
        <v/>
      </c>
      <c r="B24" s="14" t="inlineStr">
        <is>
          <t>ID20</t>
        </is>
      </c>
      <c r="C24" s="14" t="inlineStr">
        <is>
          <t>Porcentaje de egresados satisfechos con la calidad y utilidad de la formación para su empleabilidad</t>
        </is>
      </c>
      <c r="D24" s="14" t="inlineStr">
        <is>
          <t>%</t>
        </is>
      </c>
      <c r="E24" s="16" t="n"/>
      <c r="F24" s="14" t="n">
        <v>70</v>
      </c>
      <c r="G24" s="14" t="inlineStr">
        <is>
          <t>70%</t>
        </is>
      </c>
      <c r="H24" s="14" t="inlineStr">
        <is>
          <t>Modelo CONEAU 2026 [A4]</t>
        </is>
      </c>
      <c r="I24" s="16" t="n"/>
      <c r="J24" s="16" t="n"/>
      <c r="K24" s="16" t="n"/>
      <c r="L24" s="16" t="n"/>
      <c r="M24" s="14">
        <f>IF(E24="","sin dato","Sin dato validado")</f>
        <v/>
      </c>
      <c r="N24" s="14" t="inlineStr">
        <is>
          <t>Solo referencia: no interviene en semáforos, alertas ni gráficos</t>
        </is>
      </c>
      <c r="O24" s="16" t="n"/>
      <c r="P24" s="16" t="n"/>
      <c r="Q24" s="16" t="n"/>
    </row>
    <row r="25">
      <c r="A25" s="14">
        <f>IF(Portada!$B$7="","",Portada!$B$7)</f>
        <v/>
      </c>
      <c r="B25" s="14" t="inlineStr">
        <is>
          <t>ID21</t>
        </is>
      </c>
      <c r="C25" s="14" t="inlineStr">
        <is>
          <t>Porcentaje de egresados satisfechos con los procedimientos de los servicios administrativos</t>
        </is>
      </c>
      <c r="D25" s="14" t="inlineStr">
        <is>
          <t>%</t>
        </is>
      </c>
      <c r="E25" s="16" t="n"/>
      <c r="F25" s="14" t="n">
        <v>70</v>
      </c>
      <c r="G25" s="14" t="inlineStr">
        <is>
          <t>70%</t>
        </is>
      </c>
      <c r="H25" s="14" t="inlineStr">
        <is>
          <t>Modelo CONEAU 2026 [A4]</t>
        </is>
      </c>
      <c r="I25" s="16" t="n"/>
      <c r="J25" s="16" t="n"/>
      <c r="K25" s="16" t="n"/>
      <c r="L25" s="16" t="n"/>
      <c r="M25" s="14">
        <f>IF(E25="","sin dato","Sin dato validado")</f>
        <v/>
      </c>
      <c r="N25" s="14" t="inlineStr">
        <is>
          <t>Solo referencia: no interviene en semáforos, alertas ni gráficos</t>
        </is>
      </c>
      <c r="O25" s="16" t="n"/>
      <c r="P25" s="16" t="n"/>
      <c r="Q25" s="16" t="n"/>
    </row>
    <row r="26">
      <c r="A26" s="14">
        <f>IF(Portada!$B$7="","",Portada!$B$7)</f>
        <v/>
      </c>
      <c r="B26" s="14" t="inlineStr">
        <is>
          <t>ID22</t>
        </is>
      </c>
      <c r="C26" s="14" t="inlineStr">
        <is>
          <t>Porcentaje de egresados satisfechos con la calidad de la enseñanza</t>
        </is>
      </c>
      <c r="D26" s="14" t="inlineStr">
        <is>
          <t>%</t>
        </is>
      </c>
      <c r="E26" s="16" t="n"/>
      <c r="F26" s="14" t="n">
        <v>70</v>
      </c>
      <c r="G26" s="14" t="inlineStr">
        <is>
          <t>70%</t>
        </is>
      </c>
      <c r="H26" s="14" t="inlineStr">
        <is>
          <t>Modelo CONEAU 2026 [A4]</t>
        </is>
      </c>
      <c r="I26" s="16" t="n"/>
      <c r="J26" s="16" t="n"/>
      <c r="K26" s="16" t="n"/>
      <c r="L26" s="16" t="n"/>
      <c r="M26" s="14">
        <f>IF(E26="","sin dato","Sin dato validado")</f>
        <v/>
      </c>
      <c r="N26" s="14" t="inlineStr">
        <is>
          <t>Solo referencia: no interviene en semáforos, alertas ni gráficos</t>
        </is>
      </c>
      <c r="O26" s="16" t="n"/>
      <c r="P26" s="16" t="n"/>
      <c r="Q26" s="16" t="n"/>
    </row>
    <row r="27">
      <c r="A27" s="14">
        <f>IF(Portada!$B$7="","",Portada!$B$7)</f>
        <v/>
      </c>
      <c r="B27" s="14" t="inlineStr">
        <is>
          <t>ID23</t>
        </is>
      </c>
      <c r="C27" s="14" t="inlineStr">
        <is>
          <t>Porcentaje de egresados satisfechos con los programas de bienestar y actividades recreativas, culturales, artísticas y deportivas</t>
        </is>
      </c>
      <c r="D27" s="14" t="inlineStr">
        <is>
          <t>%</t>
        </is>
      </c>
      <c r="E27" s="16" t="n"/>
      <c r="F27" s="14" t="n">
        <v>70</v>
      </c>
      <c r="G27" s="14" t="inlineStr">
        <is>
          <t>70%</t>
        </is>
      </c>
      <c r="H27" s="14" t="inlineStr">
        <is>
          <t>Modelo CONEAU 2026 [A4]</t>
        </is>
      </c>
      <c r="I27" s="16" t="n"/>
      <c r="J27" s="16" t="n"/>
      <c r="K27" s="16" t="n"/>
      <c r="L27" s="16" t="n"/>
      <c r="M27" s="14">
        <f>IF(E27="","sin dato","Sin dato validado")</f>
        <v/>
      </c>
      <c r="N27" s="14" t="inlineStr">
        <is>
          <t>Solo referencia: no interviene en semáforos, alertas ni gráficos</t>
        </is>
      </c>
      <c r="O27" s="16" t="n"/>
      <c r="P27" s="16" t="n"/>
      <c r="Q27" s="16" t="n"/>
    </row>
    <row r="28">
      <c r="A28" s="14">
        <f>IF(Portada!$B$7="","",Portada!$B$7)</f>
        <v/>
      </c>
      <c r="B28" s="14" t="inlineStr">
        <is>
          <t>ID24</t>
        </is>
      </c>
      <c r="C28" s="14" t="inlineStr">
        <is>
          <t>Porcentaje de egresados satisfechos con los servicios de apoyo al estudiante</t>
        </is>
      </c>
      <c r="D28" s="14" t="inlineStr">
        <is>
          <t>%</t>
        </is>
      </c>
      <c r="E28" s="16" t="n"/>
      <c r="F28" s="14" t="n">
        <v>70</v>
      </c>
      <c r="G28" s="14" t="inlineStr">
        <is>
          <t>70%</t>
        </is>
      </c>
      <c r="H28" s="14" t="inlineStr">
        <is>
          <t>Modelo CONEAU 2026 [A4]</t>
        </is>
      </c>
      <c r="I28" s="16" t="n"/>
      <c r="J28" s="16" t="n"/>
      <c r="K28" s="16" t="n"/>
      <c r="L28" s="16" t="n"/>
      <c r="M28" s="14">
        <f>IF(E28="","sin dato","Sin dato validado")</f>
        <v/>
      </c>
      <c r="N28" s="14" t="inlineStr">
        <is>
          <t>Solo referencia: no interviene en semáforos, alertas ni gráficos</t>
        </is>
      </c>
      <c r="O28" s="16" t="n"/>
      <c r="P28" s="16" t="n"/>
      <c r="Q28" s="16" t="n"/>
    </row>
    <row r="29">
      <c r="A29" s="14">
        <f>IF(Portada!$B$7="","",Portada!$B$7)</f>
        <v/>
      </c>
      <c r="B29" s="14" t="inlineStr">
        <is>
          <t>ID25</t>
        </is>
      </c>
      <c r="C29" s="14" t="inlineStr">
        <is>
          <t>Tiempo promedio entre egreso y titulación</t>
        </is>
      </c>
      <c r="D29" s="14" t="inlineStr">
        <is>
          <t>años</t>
        </is>
      </c>
      <c r="E29" s="16" t="n"/>
      <c r="F29" s="14" t="n">
        <v>2</v>
      </c>
      <c r="G29" s="14" t="inlineStr">
        <is>
          <t>2 años</t>
        </is>
      </c>
      <c r="H29" s="14" t="inlineStr">
        <is>
          <t>Modelo CONEAU 2026 [A4]</t>
        </is>
      </c>
      <c r="I29" s="16" t="n"/>
      <c r="J29" s="16" t="n"/>
      <c r="K29" s="16" t="n"/>
      <c r="L29" s="16" t="n"/>
      <c r="M29" s="14">
        <f>IF(E29="","sin dato","Sin dato validado")</f>
        <v/>
      </c>
      <c r="N29" s="14" t="inlineStr">
        <is>
          <t>Solo referencia: no interviene en semáforos, alertas ni gráficos</t>
        </is>
      </c>
      <c r="O29" s="16" t="n"/>
      <c r="P29" s="16" t="n"/>
      <c r="Q29" s="16" t="n"/>
    </row>
    <row r="30">
      <c r="A30" s="14">
        <f>IF(Portada!$B$7="","",Portada!$B$7)</f>
        <v/>
      </c>
      <c r="B30" s="14" t="inlineStr">
        <is>
          <t>ID26</t>
        </is>
      </c>
      <c r="C30" s="14" t="inlineStr">
        <is>
          <t>Tiempo promedio entre egreso y primer empleo en el campo profesional</t>
        </is>
      </c>
      <c r="D30" s="14" t="inlineStr">
        <is>
          <t>años</t>
        </is>
      </c>
      <c r="E30" s="16" t="n"/>
      <c r="F30" s="14" t="n">
        <v>1</v>
      </c>
      <c r="G30" s="14" t="inlineStr">
        <is>
          <t>1 año</t>
        </is>
      </c>
      <c r="H30" s="14" t="inlineStr">
        <is>
          <t>Modelo CONEAU 2026 [A4]</t>
        </is>
      </c>
      <c r="I30" s="16" t="n"/>
      <c r="J30" s="16" t="n"/>
      <c r="K30" s="16" t="n"/>
      <c r="L30" s="16" t="n"/>
      <c r="M30" s="14">
        <f>IF(E30="","sin dato","Sin dato validado")</f>
        <v/>
      </c>
      <c r="N30" s="14" t="inlineStr">
        <is>
          <t>Solo referencia: no interviene en semáforos, alertas ni gráficos</t>
        </is>
      </c>
      <c r="O30" s="16" t="n"/>
      <c r="P30" s="16" t="n"/>
      <c r="Q30" s="16" t="n"/>
    </row>
    <row r="31">
      <c r="A31" s="14">
        <f>IF(Portada!$B$7="","",Portada!$B$7)</f>
        <v/>
      </c>
      <c r="B31" s="14" t="inlineStr">
        <is>
          <t>ID27</t>
        </is>
      </c>
      <c r="C31" s="14" t="inlineStr">
        <is>
          <t>Porcentaje de egresados que laboran en su campo profesional</t>
        </is>
      </c>
      <c r="D31" s="14" t="inlineStr">
        <is>
          <t>%</t>
        </is>
      </c>
      <c r="E31" s="16" t="n"/>
      <c r="F31" s="14" t="n">
        <v>50</v>
      </c>
      <c r="G31" s="14" t="inlineStr">
        <is>
          <t>50%</t>
        </is>
      </c>
      <c r="H31" s="14" t="inlineStr">
        <is>
          <t>Modelo CONEAU 2026 [A4]</t>
        </is>
      </c>
      <c r="I31" s="16" t="n"/>
      <c r="J31" s="16" t="n"/>
      <c r="K31" s="16" t="n"/>
      <c r="L31" s="16" t="n"/>
      <c r="M31" s="14">
        <f>IF(E31="","sin dato","Sin dato validado")</f>
        <v/>
      </c>
      <c r="N31" s="14" t="inlineStr">
        <is>
          <t>Solo referencia: no interviene en semáforos, alertas ni gráficos</t>
        </is>
      </c>
      <c r="O31" s="16" t="n"/>
      <c r="P31" s="16" t="n"/>
      <c r="Q31" s="16" t="n"/>
    </row>
    <row r="32">
      <c r="A32" s="14">
        <f>IF(Portada!$B$7="","",Portada!$B$7)</f>
        <v/>
      </c>
      <c r="B32" s="14" t="inlineStr">
        <is>
          <t>ID28</t>
        </is>
      </c>
      <c r="C32" s="14" t="inlineStr">
        <is>
          <t>Porcentaje de estudiantes que alcanzan el título profesional dentro de los dos años posteriores al egreso</t>
        </is>
      </c>
      <c r="D32" s="14" t="inlineStr">
        <is>
          <t>%</t>
        </is>
      </c>
      <c r="E32" s="16" t="n"/>
      <c r="F32" s="14" t="n">
        <v>60</v>
      </c>
      <c r="G32" s="14" t="inlineStr">
        <is>
          <t>60%</t>
        </is>
      </c>
      <c r="H32" s="14" t="inlineStr">
        <is>
          <t>Modelo CONEAU 2026 [A4]</t>
        </is>
      </c>
      <c r="I32" s="16" t="n"/>
      <c r="J32" s="16" t="n"/>
      <c r="K32" s="16" t="n"/>
      <c r="L32" s="16" t="n"/>
      <c r="M32" s="14">
        <f>IF(E32="","sin dato","Sin dato validado")</f>
        <v/>
      </c>
      <c r="N32" s="14" t="inlineStr">
        <is>
          <t>Solo referencia: no interviene en semáforos, alertas ni gráficos</t>
        </is>
      </c>
      <c r="O32" s="16" t="n"/>
      <c r="P32" s="16" t="n"/>
      <c r="Q32" s="16" t="n"/>
    </row>
    <row r="33">
      <c r="A33" s="14">
        <f>IF(Portada!$B$7="","",Portada!$B$7)</f>
        <v/>
      </c>
      <c r="B33" s="14" t="inlineStr">
        <is>
          <t>ID29</t>
        </is>
      </c>
      <c r="C33" s="14" t="inlineStr">
        <is>
          <t>Porcentaje de empleadores satisfechos con el desempeño de los egresados</t>
        </is>
      </c>
      <c r="D33" s="14" t="inlineStr">
        <is>
          <t>%</t>
        </is>
      </c>
      <c r="E33" s="16" t="n"/>
      <c r="F33" s="14" t="n">
        <v>70</v>
      </c>
      <c r="G33" s="14" t="inlineStr">
        <is>
          <t>70%</t>
        </is>
      </c>
      <c r="H33" s="14" t="inlineStr">
        <is>
          <t>Modelo CONEAU 2026 [A4]</t>
        </is>
      </c>
      <c r="I33" s="16" t="n"/>
      <c r="J33" s="16" t="n"/>
      <c r="K33" s="16" t="n"/>
      <c r="L33" s="16" t="n"/>
      <c r="M33" s="14">
        <f>IF(E33="","sin dato","Sin dato validado")</f>
        <v/>
      </c>
      <c r="N33" s="14" t="inlineStr">
        <is>
          <t>Solo referencia: no interviene en semáforos, alertas ni gráficos</t>
        </is>
      </c>
      <c r="O33" s="16" t="n"/>
      <c r="P33" s="16" t="n"/>
      <c r="Q33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Q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3A9E"/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10" customWidth="1" min="4" max="4"/>
  </cols>
  <sheetData>
    <row r="1">
      <c r="A1" s="1" t="inlineStr">
        <is>
          <t>Parámetros generales del tablero</t>
        </is>
      </c>
    </row>
    <row r="2">
      <c r="A2" s="2" t="inlineStr">
        <is>
          <t>Los edita el comité de calidad de la Facultad. Si cambias algo, actualiza fecha_parametros: el tablero usa la hoja con la fecha más reciente.</t>
        </is>
      </c>
    </row>
    <row r="4" ht="32" customHeight="1">
      <c r="A4" s="5" t="inlineStr">
        <is>
          <t>clave</t>
        </is>
      </c>
      <c r="B4" s="5" t="inlineStr">
        <is>
          <t>valor</t>
        </is>
      </c>
      <c r="C4" s="5" t="inlineStr">
        <is>
          <t>tipo</t>
        </is>
      </c>
      <c r="D4" s="5" t="inlineStr">
        <is>
          <t>fuente y nota</t>
        </is>
      </c>
    </row>
    <row r="5">
      <c r="A5" s="6" t="inlineStr">
        <is>
          <t>version_parametros</t>
        </is>
      </c>
      <c r="B5" s="17" t="inlineStr">
        <is>
          <t>0.3</t>
        </is>
      </c>
      <c r="C5" s="13" t="inlineStr">
        <is>
          <t>texto</t>
        </is>
      </c>
      <c r="D5" s="13" t="inlineStr">
        <is>
          <t>Versión de esta hoja. Súbela cuando cambies algo.</t>
        </is>
      </c>
    </row>
    <row r="6">
      <c r="A6" s="6" t="inlineStr">
        <is>
          <t>fecha_parametros</t>
        </is>
      </c>
      <c r="B6" s="8" t="inlineStr">
        <is>
          <t>2026-10-20</t>
        </is>
      </c>
      <c r="C6" s="13" t="inlineStr">
        <is>
          <t>fecha</t>
        </is>
      </c>
      <c r="D6" s="13" t="inlineStr">
        <is>
          <t>Fecha de la última edición. El tablero usa la hoja con la fecha más reciente.</t>
        </is>
      </c>
    </row>
    <row r="7">
      <c r="A7" s="6" t="inlineStr">
        <is>
          <t>fecha_corte</t>
        </is>
      </c>
      <c r="B7" s="8" t="n"/>
      <c r="C7" s="13" t="inlineStr">
        <is>
          <t>fecha</t>
        </is>
      </c>
      <c r="D7" s="13" t="inlineStr">
        <is>
          <t>Fecha de corte del análisis (AAAA-MM-DD). Vacío = fecha de hoy.</t>
        </is>
      </c>
    </row>
    <row r="8">
      <c r="A8" s="6" t="inlineStr">
        <is>
          <t>dias_gracia</t>
        </is>
      </c>
      <c r="B8" s="8" t="n">
        <v>30</v>
      </c>
      <c r="C8" s="13" t="inlineStr">
        <is>
          <t>número</t>
        </is>
      </c>
      <c r="D8" s="13" t="inlineStr">
        <is>
          <t>[CP] Días después del cierre del periodo en que aún no se considera vencido el dato.</t>
        </is>
      </c>
    </row>
    <row r="9">
      <c r="A9" s="6" t="inlineStr">
        <is>
          <t>n_periodos_tendencia</t>
        </is>
      </c>
      <c r="B9" s="8" t="n">
        <v>2</v>
      </c>
      <c r="C9" s="13" t="inlineStr">
        <is>
          <t>número</t>
        </is>
      </c>
      <c r="D9" s="13" t="inlineStr">
        <is>
          <t>Periodos seguidos de deterioro que activan la alerta de tendencia (pedido: 2).</t>
        </is>
      </c>
    </row>
    <row r="10">
      <c r="A10" s="6" t="inlineStr">
        <is>
          <t>banda_poi_verde</t>
        </is>
      </c>
      <c r="B10" s="8" t="n">
        <v>95</v>
      </c>
      <c r="C10" s="13" t="inlineStr">
        <is>
          <t>número</t>
        </is>
      </c>
      <c r="D10" s="13" t="inlineStr">
        <is>
          <t>Reportes de seguimiento del POI [A14] [A15] [A16]: 95 % o más.</t>
        </is>
      </c>
    </row>
    <row r="11">
      <c r="A11" s="6" t="inlineStr">
        <is>
          <t>banda_poi_rojo</t>
        </is>
      </c>
      <c r="B11" s="8" t="n">
        <v>75</v>
      </c>
      <c r="C11" s="13" t="inlineStr">
        <is>
          <t>número</t>
        </is>
      </c>
      <c r="D11" s="13" t="inlineStr">
        <is>
          <t>Reportes de seguimiento del POI [A14] [A15] [A16]: menos de 75 %.</t>
        </is>
      </c>
    </row>
    <row r="12">
      <c r="A12" s="6" t="inlineStr">
        <is>
          <t>umbral_sobreejecucion</t>
        </is>
      </c>
      <c r="B12" s="8" t="n">
        <v>120</v>
      </c>
      <c r="C12" s="13" t="inlineStr">
        <is>
          <t>número</t>
        </is>
      </c>
      <c r="D12" s="13" t="inlineStr">
        <is>
          <t>[CP] Ejecutado sobre programado a partir del cual se marca sobreejecución (PE01-P7).</t>
        </is>
      </c>
    </row>
    <row r="13">
      <c r="A13" s="6" t="inlineStr">
        <is>
          <t>poi_frecuencia</t>
        </is>
      </c>
      <c r="B13" s="8" t="inlineStr">
        <is>
          <t>Trimestral</t>
        </is>
      </c>
      <c r="C13" s="13" t="inlineStr">
        <is>
          <t>lista</t>
        </is>
      </c>
      <c r="D13" s="13" t="inlineStr">
        <is>
          <t>[CP] Con qué frecuencia debería llegar un reporte de seguimiento del POI.</t>
        </is>
      </c>
    </row>
    <row r="14">
      <c r="A14" s="6" t="inlineStr">
        <is>
          <t>poi_evaluar</t>
        </is>
      </c>
      <c r="B14" s="8" t="inlineStr">
        <is>
          <t>Último reporte</t>
        </is>
      </c>
      <c r="C14" s="13" t="inlineStr">
        <is>
          <t>lista</t>
        </is>
      </c>
      <c r="D14" s="13" t="inlineStr">
        <is>
          <t>Qué reporte del POI evalúan las alertas: Último reporte o Todos.</t>
        </is>
      </c>
    </row>
    <row r="15">
      <c r="A15" s="6" t="inlineStr">
        <is>
          <t>sin_dato_en_agregado</t>
        </is>
      </c>
      <c r="B15" s="8" t="inlineStr">
        <is>
          <t>Cuenta</t>
        </is>
      </c>
      <c r="C15" s="13" t="inlineStr">
        <is>
          <t>lista</t>
        </is>
      </c>
      <c r="D15" s="13" t="inlineStr">
        <is>
          <t>Cuenta: un indicador sin dato pesa más que uno en meta al fijar el estado de un proceso. Excluye: no pesa.</t>
        </is>
      </c>
    </row>
    <row r="16">
      <c r="A16" s="6" t="inlineStr">
        <is>
          <t>heredar_alias</t>
        </is>
      </c>
      <c r="B16" s="8" t="inlineStr">
        <is>
          <t>Sí</t>
        </is>
      </c>
      <c r="C16" s="13" t="inlineStr">
        <is>
          <t>lista</t>
        </is>
      </c>
      <c r="D16" s="13" t="inlineStr">
        <is>
          <t>[CP] Un indicador de proceso que mide lo mismo que un indicador SINEACE toma su dato.</t>
        </is>
      </c>
    </row>
    <row r="17">
      <c r="A17" s="6" t="inlineStr">
        <is>
          <t>evidencia_obligatoria</t>
        </is>
      </c>
      <c r="B17" s="8" t="inlineStr">
        <is>
          <t>Sí</t>
        </is>
      </c>
      <c r="C17" s="13" t="inlineStr">
        <is>
          <t>lista</t>
        </is>
      </c>
      <c r="D17" s="13" t="inlineStr">
        <is>
          <t>Sí: un dato sin evidencia genera alerta.</t>
        </is>
      </c>
    </row>
    <row r="18">
      <c r="A18" s="6" t="inlineStr">
        <is>
          <t>escuelas_en_implementacion</t>
        </is>
      </c>
      <c r="B18" s="8" t="inlineStr">
        <is>
          <t>ENF</t>
        </is>
      </c>
      <c r="C18" s="13" t="inlineStr">
        <is>
          <t>texto</t>
        </is>
      </c>
      <c r="D18" s="13" t="inlineStr">
        <is>
          <t>Orden de implementación definido por Robert: 1.º Enfermería, 2.º Obstetricia, 3.º Tecnología Médica por áreas. Escuelas (TM, ENF, OBS) que ya deben cargar: solo ellas generan alertas por falta de datos. Una escuela con archivo cargado cuenta como activa. Fechas de cada fase por confirmar.</t>
        </is>
      </c>
    </row>
    <row r="19">
      <c r="A19" s="6" t="inlineStr">
        <is>
          <t>alcance_inicial</t>
        </is>
      </c>
      <c r="B19" s="8" t="inlineStr">
        <is>
          <t>Piloto + 10.2 + SINEACE</t>
        </is>
      </c>
      <c r="C19" s="13" t="inlineStr">
        <is>
          <t>lista</t>
        </is>
      </c>
      <c r="D19" s="13" t="inlineStr">
        <is>
          <t>[CP] Indicadores que se vigilan por defecto, mientras la escuela no edite su hoja Alcance.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3A9E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12" customWidth="1" min="4" max="4"/>
    <col width="44" customWidth="1" min="5" max="5"/>
    <col width="60" customWidth="1" min="6" max="6"/>
    <col width="60" customWidth="1" min="7" max="7"/>
    <col width="60" customWidth="1" min="8" max="8"/>
    <col width="30" customWidth="1" min="9" max="9"/>
  </cols>
  <sheetData>
    <row r="1">
      <c r="A1" s="1" t="inlineStr">
        <is>
          <t>Reglas de alerta</t>
        </is>
      </c>
    </row>
    <row r="2">
      <c r="A2" s="2" t="inlineStr">
        <is>
          <t>Se pueden activar, desactivar y cambiar de severidad. Los textos admiten campos entre llaves, por ejemplo {indicador}, {escuela}, {valor}, {meta}, {desde}, {periodo}.</t>
        </is>
      </c>
    </row>
    <row r="4" ht="32" customHeight="1">
      <c r="A4" s="5" t="inlineStr">
        <is>
          <t>regla_id</t>
        </is>
      </c>
      <c r="B4" s="5" t="inlineStr">
        <is>
          <t>nombre</t>
        </is>
      </c>
      <c r="C4" s="5" t="inlineStr">
        <is>
          <t>activa</t>
        </is>
      </c>
      <c r="D4" s="5" t="inlineStr">
        <is>
          <t>severidad</t>
        </is>
      </c>
      <c r="E4" s="5" t="inlineStr">
        <is>
          <t>condición (resumen)</t>
        </is>
      </c>
      <c r="F4" s="5" t="inlineStr">
        <is>
          <t>qué ocurre</t>
        </is>
      </c>
      <c r="G4" s="5" t="inlineStr">
        <is>
          <t>por qué</t>
        </is>
      </c>
      <c r="H4" s="5" t="inlineStr">
        <is>
          <t>decisión o acción sugerida</t>
        </is>
      </c>
      <c r="I4" s="5" t="inlineStr">
        <is>
          <t>a quién corresponde</t>
        </is>
      </c>
    </row>
    <row r="5" ht="62" customHeight="1">
      <c r="A5" s="4" t="inlineStr">
        <is>
          <t>R01</t>
        </is>
      </c>
      <c r="B5" s="4" t="inlineStr">
        <is>
          <t>Indicador en estado crítico</t>
        </is>
      </c>
      <c r="C5" s="16" t="inlineStr">
        <is>
          <t>Sí</t>
        </is>
      </c>
      <c r="D5" s="16" t="inlineStr">
        <is>
          <t>Crítica</t>
        </is>
      </c>
      <c r="E5" s="4" t="inlineStr">
        <is>
          <t>Cumplimiento de lo esperado a la fecha de corte menor que el límite de riesgo (Metas_Umbrales)</t>
        </is>
      </c>
      <c r="F5" s="16" t="inlineStr">
        <is>
          <t>{indicador} está en estado Crítico en {escuela}: {valor} frente a {esperado_txt} ({cumpl} % de lo esperado).</t>
        </is>
      </c>
      <c r="G5" s="16" t="inlineStr">
        <is>
          <t>El resultado cae por debajo de {rojo_min} {base_txt}, el límite inferior que define {fuente_umbral}.</t>
        </is>
      </c>
      <c r="H5" s="16" t="inlineStr">
        <is>
          <t>Revisar causas con el responsable del proceso y abrir una acción correctiva (ME05) con plazo y dueño.</t>
        </is>
      </c>
      <c r="I5" s="16" t="inlineStr">
        <is>
          <t>Responsable del indicador; si no hay, coordinación de calidad (por confirmar)</t>
        </is>
      </c>
    </row>
    <row r="6" ht="62" customHeight="1">
      <c r="A6" s="4" t="inlineStr">
        <is>
          <t>R02</t>
        </is>
      </c>
      <c r="B6" s="4" t="inlineStr">
        <is>
          <t>Indicador en riesgo</t>
        </is>
      </c>
      <c r="C6" s="16" t="inlineStr">
        <is>
          <t>Sí</t>
        </is>
      </c>
      <c r="D6" s="16" t="inlineStr">
        <is>
          <t>En riesgo</t>
        </is>
      </c>
      <c r="E6" s="4" t="inlineStr">
        <is>
          <t>Cumplimiento de lo esperado a la fecha de corte entre el límite de riesgo y el límite de meta (Metas_Umbrales)</t>
        </is>
      </c>
      <c r="F6" s="16" t="inlineStr">
        <is>
          <t>{indicador} está En riesgo en {escuela}: {valor} frente a {esperado_txt} ({cumpl} % de lo esperado).</t>
        </is>
      </c>
      <c r="G6" s="16" t="inlineStr">
        <is>
          <t>El resultado está entre {rojo_min} y {verde_min} {base_txt}, el rango intermedio que define {fuente_umbral}.</t>
        </is>
      </c>
      <c r="H6" s="16" t="inlineStr">
        <is>
          <t>Analizar la brecha antes del siguiente corte y decidir si se refuerza el plan de mejora.</t>
        </is>
      </c>
      <c r="I6" s="16" t="inlineStr">
        <is>
          <t>Responsable del indicador; si no hay, coordinación de calidad (por confirmar)</t>
        </is>
      </c>
    </row>
    <row r="7" ht="62" customHeight="1">
      <c r="A7" s="4" t="inlineStr">
        <is>
          <t>R03</t>
        </is>
      </c>
      <c r="B7" s="4" t="inlineStr">
        <is>
          <t>Sin dato</t>
        </is>
      </c>
      <c r="C7" s="16" t="inlineStr">
        <is>
          <t>Sí</t>
        </is>
      </c>
      <c r="D7" s="16" t="inlineStr">
        <is>
          <t>Aviso</t>
        </is>
      </c>
      <c r="E7" s="4" t="inlineStr">
        <is>
          <t>Ninguna medición cargada de un indicador vigilado</t>
        </is>
      </c>
      <c r="F7" s="16" t="inlineStr">
        <is>
          <t>No hay ninguna medición cargada de {indicador} en {escuela}.</t>
        </is>
      </c>
      <c r="G7" s="16" t="inlineStr">
        <is>
          <t>Se esperaba al menos el periodo {periodo_esperado} (periodicidad {frecuencia}) y no hay dato con fuente.</t>
        </is>
      </c>
      <c r="H7" s="16" t="inlineStr">
        <is>
          <t>Cargar el dato con su fuente y evidencia, o registrar que el indicador no aplica a la escuela.</t>
        </is>
      </c>
      <c r="I7" s="16" t="inlineStr">
        <is>
          <t>Responsable del indicador; si no hay, coordinación de calidad (por confirmar)</t>
        </is>
      </c>
    </row>
    <row r="8" ht="62" customHeight="1">
      <c r="A8" s="4" t="inlineStr">
        <is>
          <t>R04</t>
        </is>
      </c>
      <c r="B8" s="4" t="inlineStr">
        <is>
          <t>Dato vencido</t>
        </is>
      </c>
      <c r="C8" s="16" t="inlineStr">
        <is>
          <t>Sí</t>
        </is>
      </c>
      <c r="D8" s="16" t="inlineStr">
        <is>
          <t>En riesgo</t>
        </is>
      </c>
      <c r="E8" s="4" t="inlineStr">
        <is>
          <t>Último periodo cargado anterior al esperado según la periodicidad más los días de gracia</t>
        </is>
      </c>
      <c r="F8" s="16" t="inlineStr">
        <is>
          <t>El último dato de {indicador} en {escuela} es del periodo {periodo} y ya debería existir el periodo {periodo_esperado}.</t>
        </is>
      </c>
      <c r="G8" s="16" t="inlineStr">
        <is>
          <t>La periodicidad es {frecuencia} y el plazo de carga (con {gracia} días de gracia) venció el {desde}.</t>
        </is>
      </c>
      <c r="H8" s="16" t="inlineStr">
        <is>
          <t>Pedir la carga al responsable de carga y, si no hay medición, dejar constancia del motivo.</t>
        </is>
      </c>
      <c r="I8" s="16" t="inlineStr">
        <is>
          <t>Responsable del indicador; si no hay, coordinación de calidad (por confirmar)</t>
        </is>
      </c>
    </row>
    <row r="9" ht="62" customHeight="1">
      <c r="A9" s="4" t="inlineStr">
        <is>
          <t>R05</t>
        </is>
      </c>
      <c r="B9" s="4" t="inlineStr">
        <is>
          <t>Tendencia desfavorable</t>
        </is>
      </c>
      <c r="C9" s="16" t="inlineStr">
        <is>
          <t>Sí</t>
        </is>
      </c>
      <c r="D9" s="16" t="inlineStr">
        <is>
          <t>En riesgo</t>
        </is>
      </c>
      <c r="E9" s="4" t="inlineStr">
        <is>
          <t>Dos periodos seguidos que se alejan de la meta (parámetro n_periodos_tendencia)</t>
        </is>
      </c>
      <c r="F9" s="16" t="inlineStr">
        <is>
          <t>{indicador} se aleja de la meta {n} periodos seguidos en {escuela}: {serie}.</t>
        </is>
      </c>
      <c r="G9" s="16" t="inlineStr">
        <is>
          <t>Cada medición es peor que la anterior respecto del sentido del indicador ({sentido}), aunque aún no cruce un umbral.</t>
        </is>
      </c>
      <c r="H9" s="16" t="inlineStr">
        <is>
          <t>Anticipar la causa y decidir si se interviene antes de que el indicador cruce a riesgo.</t>
        </is>
      </c>
      <c r="I9" s="16" t="inlineStr">
        <is>
          <t>Responsable del indicador; si no hay, coordinación de calidad (por confirmar)</t>
        </is>
      </c>
    </row>
    <row r="10" ht="62" customHeight="1">
      <c r="A10" s="4" t="inlineStr">
        <is>
          <t>R06</t>
        </is>
      </c>
      <c r="B10" s="4" t="inlineStr">
        <is>
          <t>Dato sin evidencia</t>
        </is>
      </c>
      <c r="C10" s="16" t="inlineStr">
        <is>
          <t>Sí</t>
        </is>
      </c>
      <c r="D10" s="16" t="inlineStr">
        <is>
          <t>Aviso</t>
        </is>
      </c>
      <c r="E10" s="4" t="inlineStr">
        <is>
          <t>La última medición no tiene evidencia (EV ni referencia)</t>
        </is>
      </c>
      <c r="F10" s="16" t="inlineStr">
        <is>
          <t>La última medición de {indicador} en {escuela} (periodo {periodo}) no tiene evidencia asociada.</t>
        </is>
      </c>
      <c r="G10" s="16" t="inlineStr">
        <is>
          <t>Sin evidencia el dato no se puede verificar ante una auditoría ni ante CONEAU.</t>
        </is>
      </c>
      <c r="H10" s="16" t="inlineStr">
        <is>
          <t>Adjuntar o indicar la evidencia (código EV y archivo o enlace) en la hoja de carga.</t>
        </is>
      </c>
      <c r="I10" s="16" t="inlineStr">
        <is>
          <t>Responsable del indicador; si no hay, coordinación de calidad (por confirmar)</t>
        </is>
      </c>
    </row>
    <row r="11" ht="62" customHeight="1">
      <c r="A11" s="4" t="inlineStr">
        <is>
          <t>R07</t>
        </is>
      </c>
      <c r="B11" s="4" t="inlineStr">
        <is>
          <t>Dato sin validar</t>
        </is>
      </c>
      <c r="C11" s="16" t="inlineStr">
        <is>
          <t>Sí</t>
        </is>
      </c>
      <c r="D11" s="16" t="inlineStr">
        <is>
          <t>Aviso</t>
        </is>
      </c>
      <c r="E11" s="4" t="inlineStr">
        <is>
          <t>La última medición está en Borrador u Observado</t>
        </is>
      </c>
      <c r="F11" s="16" t="inlineStr">
        <is>
          <t>La última medición de {indicador} en {escuela} (periodo {periodo}) figura como {estado_validacion}.</t>
        </is>
      </c>
      <c r="G11" s="16" t="inlineStr">
        <is>
          <t>Un dato sin validar no debería sustentar decisiones ni informes.</t>
        </is>
      </c>
      <c r="H11" s="16" t="inlineStr">
        <is>
          <t>Validar el dato (quién valida y fecha) o corregir la observación.</t>
        </is>
      </c>
      <c r="I11" s="16" t="inlineStr">
        <is>
          <t>Responsable del indicador; si no hay, coordinación de calidad (por confirmar)</t>
        </is>
      </c>
    </row>
    <row r="12" ht="62" customHeight="1">
      <c r="A12" s="4" t="inlineStr">
        <is>
          <t>R08</t>
        </is>
      </c>
      <c r="B12" s="4" t="inlineStr">
        <is>
          <t>Avance del POI bajo lo programado</t>
        </is>
      </c>
      <c r="C12" s="16" t="inlineStr">
        <is>
          <t>Sí</t>
        </is>
      </c>
      <c r="D12" s="16" t="inlineStr">
        <is>
          <t>Por banda</t>
        </is>
      </c>
      <c r="E12" s="4" t="inlineStr">
        <is>
          <t>Ejecutado acumulado menor que programado acumulado: por debajo del límite verde del POI</t>
        </is>
      </c>
      <c r="F12" s="16" t="inlineStr">
        <is>
          <t>La actividad {aoi} ({actividad}) lleva {avance} % de avance al corte {corte}, con {ejec} ejecutadas de {prog} programadas.</t>
        </is>
      </c>
      <c r="G12" s="16" t="inlineStr">
        <is>
          <t>Los reportes del POI consideran en meta desde {verde_min} %; entre {rojo_min} y {verde_min} % es intermedio y bajo {rojo_min} % es crítico.</t>
        </is>
      </c>
      <c r="H12" s="16" t="inlineStr">
        <is>
          <t>La UPPR y el responsable de la actividad reprograman o justifican la brecha. La actividad es compartida por la Facultad.</t>
        </is>
      </c>
      <c r="I12" s="16" t="inlineStr">
        <is>
          <t>Responsable del indicador; si no hay, coordinación de calidad (por confirmar)</t>
        </is>
      </c>
    </row>
    <row r="13" ht="62" customHeight="1">
      <c r="A13" s="4" t="inlineStr">
        <is>
          <t>R09</t>
        </is>
      </c>
      <c r="B13" s="4" t="inlineStr">
        <is>
          <t>Bajo la meta, umbral por definir</t>
        </is>
      </c>
      <c r="C13" s="16" t="inlineStr">
        <is>
          <t>Sí</t>
        </is>
      </c>
      <c r="D13" s="16" t="inlineStr">
        <is>
          <t>Aviso</t>
        </is>
      </c>
      <c r="E13" s="4" t="inlineStr">
        <is>
          <t>Hay meta con fuente pero no hay límites de riesgo definidos</t>
        </is>
      </c>
      <c r="F13" s="16" t="inlineStr">
        <is>
          <t>{indicador} está por debajo de lo esperado en {escuela}: {valor} frente a {esperado_txt}.</t>
        </is>
      </c>
      <c r="G13" s="16" t="inlineStr">
        <is>
          <t>La meta tiene fuente, pero el indicador no tiene límites de riesgo con fuente; por eso no se le asigna semáforo.</t>
        </is>
      </c>
      <c r="H13" s="16" t="inlineStr">
        <is>
          <t>Definir los límites de riesgo en Metas_Umbrales con el comité de calidad.</t>
        </is>
      </c>
      <c r="I13" s="16" t="inlineStr">
        <is>
          <t>Responsable del indicador; si no hay, coordinación de calidad (por confirmar)</t>
        </is>
      </c>
    </row>
    <row r="14" ht="62" customHeight="1">
      <c r="A14" s="4" t="inlineStr">
        <is>
          <t>R10</t>
        </is>
      </c>
      <c r="B14" s="4" t="inlineStr">
        <is>
          <t>Escuela sin carga</t>
        </is>
      </c>
      <c r="C14" s="16" t="inlineStr">
        <is>
          <t>Sí</t>
        </is>
      </c>
      <c r="D14" s="16" t="inlineStr">
        <is>
          <t>Aviso</t>
        </is>
      </c>
      <c r="E14" s="4" t="inlineStr">
        <is>
          <t>No se cargó ningún archivo ni dato de la escuela</t>
        </is>
      </c>
      <c r="F14" s="16" t="inlineStr">
        <is>
          <t>{escuela} no tiene datos cargados.</t>
        </is>
      </c>
      <c r="G14" s="16" t="inlineStr">
        <is>
          <t>El tablero consolida los archivos de carga de cada escuela y no hay ninguno para ella.</t>
        </is>
      </c>
      <c r="H14" s="16" t="inlineStr">
        <is>
          <t>Entregar la plantilla a la escuela y acordar el primer corte de carga.</t>
        </is>
      </c>
      <c r="I14" s="16" t="inlineStr">
        <is>
          <t>Responsable del indicador; si no hay, coordinación de calidad (por confirmar)</t>
        </is>
      </c>
    </row>
    <row r="15" ht="62" customHeight="1">
      <c r="A15" s="4" t="inlineStr">
        <is>
          <t>R11</t>
        </is>
      </c>
      <c r="B15" s="4" t="inlineStr">
        <is>
          <t>Dato sin fuente</t>
        </is>
      </c>
      <c r="C15" s="16" t="inlineStr">
        <is>
          <t>Sí</t>
        </is>
      </c>
      <c r="D15" s="16" t="inlineStr">
        <is>
          <t>Aviso</t>
        </is>
      </c>
      <c r="E15" s="4" t="inlineStr">
        <is>
          <t>Fila de carga sin fuente del dato</t>
        </is>
      </c>
      <c r="F15" s="16" t="inlineStr">
        <is>
          <t>Hay {n} fila(s) de {escuela} sin fuente del dato; no se muestran como dato.</t>
        </is>
      </c>
      <c r="G15" s="16" t="inlineStr">
        <is>
          <t>Todo dato mostrado debe poder rastrearse a su fuente.</t>
        </is>
      </c>
      <c r="H15" s="16" t="inlineStr">
        <is>
          <t>Completar la columna fuente_dato de la hoja de carga.</t>
        </is>
      </c>
      <c r="I15" s="16" t="inlineStr">
        <is>
          <t>Responsable del indicador; si no hay, coordinación de calidad (por confirmar)</t>
        </is>
      </c>
    </row>
    <row r="16" ht="62" customHeight="1">
      <c r="A16" s="4" t="inlineStr">
        <is>
          <t>R12</t>
        </is>
      </c>
      <c r="B16" s="4" t="inlineStr">
        <is>
          <t>Criterio sin evidencia exigida</t>
        </is>
      </c>
      <c r="C16" s="16" t="inlineStr">
        <is>
          <t>Sí</t>
        </is>
      </c>
      <c r="D16" s="16" t="inlineStr">
        <is>
          <t>En riesgo</t>
        </is>
      </c>
      <c r="E16" s="4" t="inlineStr">
        <is>
          <t>Un criterio tiene evidencias que exige el modelo y el informe no cita (columna «EV exigidas que el informe no cita» de la hoja Consolidado)</t>
        </is>
      </c>
      <c r="F16" s="16" t="inlineStr">
        <is>
          <t>El criterio {criterio} (estándar {estandar}) de {escuela} no cita {n_sin} de las {n_exig} evidencias que exige: {evidencias}.</t>
        </is>
      </c>
      <c r="G16" s="16" t="inlineStr">
        <is>
          <t>Según el Consolidado de autoevaluación [A22] ({ref}), el informe no sustenta esas evidencias; el criterio está valorado «{valoracion}» y sin ellas no se puede sustentar ante CONEAU.</t>
        </is>
      </c>
      <c r="H16" s="16" t="inlineStr">
        <is>
          <t>El responsable del estándar reúne o genera la evidencia faltante, la cita en el informe y la sube al repositorio con su enlace.</t>
        </is>
      </c>
      <c r="I16" s="16" t="inlineStr">
        <is>
          <t>Responsable del indicador; si no hay, coordinación de calidad (por confirmar)</t>
        </is>
      </c>
    </row>
    <row r="17" ht="62" customHeight="1">
      <c r="A17" s="4" t="inlineStr">
        <is>
          <t>R13</t>
        </is>
      </c>
      <c r="B17" s="4" t="inlineStr">
        <is>
          <t>Criterio con matriz pendiente</t>
        </is>
      </c>
      <c r="C17" s="16" t="inlineStr">
        <is>
          <t>Sí</t>
        </is>
      </c>
      <c r="D17" s="16" t="inlineStr">
        <is>
          <t>Aviso</t>
        </is>
      </c>
      <c r="E17" s="4" t="inlineStr">
        <is>
          <t>Un criterio tiene al menos una matriz en estado Pendiente en la hoja Matrices del Consolidado</t>
        </is>
      </c>
      <c r="F17" s="16" t="inlineStr">
        <is>
          <t>El criterio {criterio} (estándar {estandar}) de {escuela} tiene {n_pend_crit} matriz(ces) pendiente(s): {matriz}.</t>
        </is>
      </c>
      <c r="G17" s="16" t="inlineStr">
        <is>
          <t>La hoja Matrices del Consolidado [A22] ({ref}) las marca como pendientes; en total hay {n_pend} de {n_mat} matrices sin completar.</t>
        </is>
      </c>
      <c r="H17" s="16" t="inlineStr">
        <is>
          <t>Completar cada matriz con su fuente y dejarla aprobada; sin ella el análisis del criterio queda incompleto.</t>
        </is>
      </c>
      <c r="I17" s="16" t="inlineStr">
        <is>
          <t>Responsable del indicador; si no hay, coordinación de calidad (por confirmar)</t>
        </is>
      </c>
    </row>
    <row r="18" ht="62" customHeight="1">
      <c r="A18" s="4" t="inlineStr">
        <is>
          <t>R14</t>
        </is>
      </c>
      <c r="B18" s="4" t="inlineStr">
        <is>
          <t>Estándar sin evidencia exigida</t>
        </is>
      </c>
      <c r="C18" s="16" t="inlineStr">
        <is>
          <t>Sí</t>
        </is>
      </c>
      <c r="D18" s="16" t="inlineStr">
        <is>
          <t>En riesgo</t>
        </is>
      </c>
      <c r="E18" s="4" t="inlineStr">
        <is>
          <t>Un estándar sin indicadores del modelo (el 10) tiene evidencias exigidas que no están disponibles ni validadas en la hoja Evidencias</t>
        </is>
      </c>
      <c r="F18" s="16" t="inlineStr">
        <is>
          <t>El estándar {estandar} de {escuela} no tiene disponibles {n_sin} de las {n_exig} evidencias que exige: {evidencias}.</t>
        </is>
      </c>
      <c r="G18" s="16" t="inlineStr">
        <is>
          <t>El modelo CONEAU 2026 [A4] las exige y todavía no hay datos cargados que las sustenten; los {nproc} procesos del criterio 10.2 se vigilan sin ellas hasta que haya datos.</t>
        </is>
      </c>
      <c r="H18" s="16" t="inlineStr">
        <is>
          <t>El responsable del estándar y el Comité de Calidad reúnen o generan cada evidencia y la registran en la hoja Evidencias del archivo de carga.</t>
        </is>
      </c>
      <c r="I18" s="16" t="inlineStr">
        <is>
          <t>Responsable del indicador; si no hay, coordinación de calidad (por confirmar)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2">
    <dataValidation sqref="C5:C18" showDropDown="0" showInputMessage="0" showErrorMessage="1" allowBlank="0" errorTitle="Valor no válido" error="Elige un valor de la lista." type="list">
      <formula1>"Sí,No"</formula1>
    </dataValidation>
    <dataValidation sqref="D5:D18" showDropDown="0" showInputMessage="0" showErrorMessage="1" allowBlank="0" errorTitle="Valor no válido" error="Elige un valor de la lista." type="list">
      <formula1>"Crítica,En riesgo,Aviso,Por banda"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B3A9E"/>
    <outlinePr summaryBelow="1" summaryRight="1"/>
    <pageSetUpPr/>
  </sheetPr>
  <dimension ref="A1:O2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6" customWidth="1" min="4" max="4"/>
    <col width="10" customWidth="1" min="5" max="5"/>
    <col width="52" customWidth="1" min="6" max="6"/>
    <col width="14" customWidth="1" min="7" max="7"/>
    <col width="12" customWidth="1" min="8" max="8"/>
    <col width="12" customWidth="1" min="9" max="9"/>
    <col width="14" customWidth="1" min="10" max="10"/>
    <col width="40" customWidth="1" min="11" max="11"/>
    <col width="52" customWidth="1" min="12" max="12"/>
    <col width="16" customWidth="1" min="13" max="13"/>
    <col width="40" customWidth="1" min="14" max="14"/>
    <col width="56" customWidth="1" min="15" max="15"/>
  </cols>
  <sheetData>
    <row r="1">
      <c r="A1" s="1" t="inlineStr">
        <is>
          <t>Metas y umbrales por indicador</t>
        </is>
      </c>
    </row>
    <row r="2">
      <c r="A2" s="2" t="inlineStr">
        <is>
          <t>Solo con fuente: modelo CONEAU [A4], PEI/POI [A11] [A12] o documentos institucionales [A8]. Lo demás queda 'Por definir' y se muestra en gris, sin semáforo.</t>
        </is>
      </c>
    </row>
    <row r="4" ht="32" customHeight="1">
      <c r="A4" s="5" t="inlineStr">
        <is>
          <t>indicador_id</t>
        </is>
      </c>
      <c r="B4" s="5" t="inlineStr">
        <is>
          <t>desde_anio</t>
        </is>
      </c>
      <c r="C4" s="5" t="inlineStr">
        <is>
          <t>meta</t>
        </is>
      </c>
      <c r="D4" s="5" t="inlineStr">
        <is>
          <t>sentido</t>
        </is>
      </c>
      <c r="E4" s="5" t="inlineStr">
        <is>
          <t>unidad</t>
        </is>
      </c>
      <c r="F4" s="5" t="inlineStr">
        <is>
          <t>fuente_meta</t>
        </is>
      </c>
      <c r="G4" s="5" t="inlineStr">
        <is>
          <t>estado_meta</t>
        </is>
      </c>
      <c r="H4" s="5" t="inlineStr">
        <is>
          <t>verde_min_pct</t>
        </is>
      </c>
      <c r="I4" s="5" t="inlineStr">
        <is>
          <t>rojo_min_pct</t>
        </is>
      </c>
      <c r="J4" s="5" t="inlineStr">
        <is>
          <t>base_umbral</t>
        </is>
      </c>
      <c r="K4" s="5" t="inlineStr">
        <is>
          <t>fuente_umbral</t>
        </is>
      </c>
      <c r="L4" s="5" t="inlineStr">
        <is>
          <t>nota</t>
        </is>
      </c>
      <c r="M4" s="5" t="inlineStr">
        <is>
          <t>tipo_avance</t>
        </is>
      </c>
      <c r="N4" s="5" t="inlineStr">
        <is>
          <t>regla_cumplimiento</t>
        </is>
      </c>
      <c r="O4" s="10" t="inlineStr">
        <is>
          <t>nombre</t>
        </is>
      </c>
    </row>
    <row r="5">
      <c r="A5" s="13" t="inlineStr">
        <is>
          <t>ID1</t>
        </is>
      </c>
      <c r="B5" s="8" t="n">
        <v>0</v>
      </c>
      <c r="C5" s="8" t="n">
        <v>60</v>
      </c>
      <c r="D5" s="8" t="inlineStr">
        <is>
          <t>Mayor es mejor</t>
        </is>
      </c>
      <c r="E5" s="8" t="inlineStr">
        <is>
          <t>%</t>
        </is>
      </c>
      <c r="F5" s="8" t="inlineStr">
        <is>
          <t>Valor de referencia del modelo CONEAU 2026, ID1 [A4]</t>
        </is>
      </c>
      <c r="G5" s="8" t="inlineStr">
        <is>
          <t>Con fuente</t>
        </is>
      </c>
      <c r="H5" s="8" t="n"/>
      <c r="I5" s="8" t="n"/>
      <c r="J5" s="8" t="inlineStr">
        <is>
          <t>cumplimiento</t>
        </is>
      </c>
      <c r="K5" s="8" t="n"/>
      <c r="L5" s="8" t="inlineStr">
        <is>
          <t>Referencia del modelo; no equivale a una meta aprobada por la Facultad.</t>
        </is>
      </c>
      <c r="M5" s="8" t="inlineStr">
        <is>
          <t>Puntual</t>
        </is>
      </c>
      <c r="N5" s="8" t="inlineStr">
        <is>
          <t>Razón al esperado</t>
        </is>
      </c>
      <c r="O5" s="13">
        <f>IFERROR(INDEX(Catalogo!$C$5:$C$129,MATCH(A5,Catalogo!$A$5:$A$129,0)),"")</f>
        <v/>
      </c>
    </row>
    <row r="6">
      <c r="A6" s="13" t="inlineStr">
        <is>
          <t>ID2</t>
        </is>
      </c>
      <c r="B6" s="8" t="n">
        <v>0</v>
      </c>
      <c r="C6" s="8" t="n">
        <v>70</v>
      </c>
      <c r="D6" s="8" t="inlineStr">
        <is>
          <t>Mayor es mejor</t>
        </is>
      </c>
      <c r="E6" s="8" t="inlineStr">
        <is>
          <t>%</t>
        </is>
      </c>
      <c r="F6" s="8" t="inlineStr">
        <is>
          <t>Valor de referencia del modelo CONEAU 2026, ID2 [A4]</t>
        </is>
      </c>
      <c r="G6" s="8" t="inlineStr">
        <is>
          <t>Con fuente</t>
        </is>
      </c>
      <c r="H6" s="8" t="n"/>
      <c r="I6" s="8" t="n"/>
      <c r="J6" s="8" t="inlineStr">
        <is>
          <t>cumplimiento</t>
        </is>
      </c>
      <c r="K6" s="8" t="n"/>
      <c r="L6" s="8" t="inlineStr">
        <is>
          <t>Referencia del modelo; no equivale a una meta aprobada por la Facultad.</t>
        </is>
      </c>
      <c r="M6" s="8" t="inlineStr">
        <is>
          <t>Puntual</t>
        </is>
      </c>
      <c r="N6" s="8" t="inlineStr">
        <is>
          <t>Razón al esperado</t>
        </is>
      </c>
      <c r="O6" s="13">
        <f>IFERROR(INDEX(Catalogo!$C$5:$C$129,MATCH(A6,Catalogo!$A$5:$A$129,0)),"")</f>
        <v/>
      </c>
    </row>
    <row r="7">
      <c r="A7" s="13" t="inlineStr">
        <is>
          <t>ID3</t>
        </is>
      </c>
      <c r="B7" s="8" t="n">
        <v>0</v>
      </c>
      <c r="C7" s="8" t="n">
        <v>70</v>
      </c>
      <c r="D7" s="8" t="inlineStr">
        <is>
          <t>Mayor es mejor</t>
        </is>
      </c>
      <c r="E7" s="8" t="inlineStr">
        <is>
          <t>%</t>
        </is>
      </c>
      <c r="F7" s="8" t="inlineStr">
        <is>
          <t>Valor de referencia del modelo CONEAU 2026, ID3 [A4]</t>
        </is>
      </c>
      <c r="G7" s="8" t="inlineStr">
        <is>
          <t>Con fuente</t>
        </is>
      </c>
      <c r="H7" s="8" t="n"/>
      <c r="I7" s="8" t="n"/>
      <c r="J7" s="8" t="inlineStr">
        <is>
          <t>cumplimiento</t>
        </is>
      </c>
      <c r="K7" s="8" t="n"/>
      <c r="L7" s="8" t="inlineStr">
        <is>
          <t>Referencia del modelo; no equivale a una meta aprobada por la Facultad.</t>
        </is>
      </c>
      <c r="M7" s="8" t="inlineStr">
        <is>
          <t>Puntual</t>
        </is>
      </c>
      <c r="N7" s="8" t="inlineStr">
        <is>
          <t>Razón al esperado</t>
        </is>
      </c>
      <c r="O7" s="13">
        <f>IFERROR(INDEX(Catalogo!$C$5:$C$129,MATCH(A7,Catalogo!$A$5:$A$129,0)),"")</f>
        <v/>
      </c>
    </row>
    <row r="8">
      <c r="A8" s="13" t="inlineStr">
        <is>
          <t>ID4</t>
        </is>
      </c>
      <c r="B8" s="8" t="n">
        <v>0</v>
      </c>
      <c r="C8" s="8" t="n">
        <v>60</v>
      </c>
      <c r="D8" s="8" t="inlineStr">
        <is>
          <t>Mayor es mejor</t>
        </is>
      </c>
      <c r="E8" s="8" t="inlineStr">
        <is>
          <t>%</t>
        </is>
      </c>
      <c r="F8" s="8" t="inlineStr">
        <is>
          <t>Valor de referencia del modelo CONEAU 2026, ID4 [A4]</t>
        </is>
      </c>
      <c r="G8" s="8" t="inlineStr">
        <is>
          <t>Con fuente</t>
        </is>
      </c>
      <c r="H8" s="8" t="n"/>
      <c r="I8" s="8" t="n"/>
      <c r="J8" s="8" t="inlineStr">
        <is>
          <t>cumplimiento</t>
        </is>
      </c>
      <c r="K8" s="8" t="n"/>
      <c r="L8" s="8" t="inlineStr">
        <is>
          <t>Referencia del modelo; no equivale a una meta aprobada por la Facultad.</t>
        </is>
      </c>
      <c r="M8" s="8" t="inlineStr">
        <is>
          <t>Puntual</t>
        </is>
      </c>
      <c r="N8" s="8" t="inlineStr">
        <is>
          <t>Razón al esperado</t>
        </is>
      </c>
      <c r="O8" s="13">
        <f>IFERROR(INDEX(Catalogo!$C$5:$C$129,MATCH(A8,Catalogo!$A$5:$A$129,0)),"")</f>
        <v/>
      </c>
    </row>
    <row r="9">
      <c r="A9" s="13" t="inlineStr">
        <is>
          <t>ID5</t>
        </is>
      </c>
      <c r="B9" s="8" t="n">
        <v>0</v>
      </c>
      <c r="C9" s="8" t="n">
        <v>70</v>
      </c>
      <c r="D9" s="8" t="inlineStr">
        <is>
          <t>Mayor es mejor</t>
        </is>
      </c>
      <c r="E9" s="8" t="inlineStr">
        <is>
          <t>%</t>
        </is>
      </c>
      <c r="F9" s="8" t="inlineStr">
        <is>
          <t>Valor de referencia del modelo CONEAU 2026, ID5 [A4]</t>
        </is>
      </c>
      <c r="G9" s="8" t="inlineStr">
        <is>
          <t>Con fuente</t>
        </is>
      </c>
      <c r="H9" s="8" t="n"/>
      <c r="I9" s="8" t="n"/>
      <c r="J9" s="8" t="inlineStr">
        <is>
          <t>cumplimiento</t>
        </is>
      </c>
      <c r="K9" s="8" t="n"/>
      <c r="L9" s="8" t="inlineStr">
        <is>
          <t>Referencia del modelo; no equivale a una meta aprobada por la Facultad.</t>
        </is>
      </c>
      <c r="M9" s="8" t="inlineStr">
        <is>
          <t>Puntual</t>
        </is>
      </c>
      <c r="N9" s="8" t="inlineStr">
        <is>
          <t>Razón al esperado</t>
        </is>
      </c>
      <c r="O9" s="13">
        <f>IFERROR(INDEX(Catalogo!$C$5:$C$129,MATCH(A9,Catalogo!$A$5:$A$129,0)),"")</f>
        <v/>
      </c>
    </row>
    <row r="10">
      <c r="A10" s="13" t="inlineStr">
        <is>
          <t>ID6</t>
        </is>
      </c>
      <c r="B10" s="8" t="n">
        <v>0</v>
      </c>
      <c r="C10" s="8" t="n">
        <v>0</v>
      </c>
      <c r="D10" s="8" t="inlineStr">
        <is>
          <t>Mayor es mejor</t>
        </is>
      </c>
      <c r="E10" s="8" t="inlineStr">
        <is>
          <t>%</t>
        </is>
      </c>
      <c r="F10" s="8" t="inlineStr">
        <is>
          <t>Valor de referencia del modelo CONEAU 2026, ID6 [A4]</t>
        </is>
      </c>
      <c r="G10" s="8" t="inlineStr">
        <is>
          <t>Con fuente</t>
        </is>
      </c>
      <c r="H10" s="8" t="n"/>
      <c r="I10" s="8" t="n"/>
      <c r="J10" s="8" t="inlineStr">
        <is>
          <t>cumplimiento</t>
        </is>
      </c>
      <c r="K10" s="8" t="n"/>
      <c r="L10" s="8" t="inlineStr">
        <is>
          <t>Referencia del modelo; no equivale a una meta aprobada por la Facultad. Cumple si la variación es mayor o igual a 0 (indicación de Robert, 20-10-2026; la ficha del Modelo dice «igual o mayor a 0 %»).</t>
        </is>
      </c>
      <c r="M10" s="8" t="inlineStr">
        <is>
          <t>Puntual</t>
        </is>
      </c>
      <c r="N10" s="8" t="inlineStr">
        <is>
          <t>Cumple si la variación es mayor o igual a 0</t>
        </is>
      </c>
      <c r="O10" s="13">
        <f>IFERROR(INDEX(Catalogo!$C$5:$C$129,MATCH(A10,Catalogo!$A$5:$A$129,0)),"")</f>
        <v/>
      </c>
    </row>
    <row r="11">
      <c r="A11" s="13" t="inlineStr">
        <is>
          <t>ID7</t>
        </is>
      </c>
      <c r="B11" s="8" t="n">
        <v>0</v>
      </c>
      <c r="C11" s="8" t="n">
        <v>70</v>
      </c>
      <c r="D11" s="8" t="inlineStr">
        <is>
          <t>Mayor es mejor</t>
        </is>
      </c>
      <c r="E11" s="8" t="inlineStr">
        <is>
          <t>%</t>
        </is>
      </c>
      <c r="F11" s="8" t="inlineStr">
        <is>
          <t>Valor de referencia del modelo CONEAU 2026, ID7 [A4]</t>
        </is>
      </c>
      <c r="G11" s="8" t="inlineStr">
        <is>
          <t>Con fuente</t>
        </is>
      </c>
      <c r="H11" s="8" t="n"/>
      <c r="I11" s="8" t="n"/>
      <c r="J11" s="8" t="inlineStr">
        <is>
          <t>cumplimiento</t>
        </is>
      </c>
      <c r="K11" s="8" t="n"/>
      <c r="L11" s="8" t="inlineStr">
        <is>
          <t>Referencia del modelo; no equivale a una meta aprobada por la Facultad.</t>
        </is>
      </c>
      <c r="M11" s="8" t="inlineStr">
        <is>
          <t>Puntual</t>
        </is>
      </c>
      <c r="N11" s="8" t="inlineStr">
        <is>
          <t>Razón al esperado</t>
        </is>
      </c>
      <c r="O11" s="13">
        <f>IFERROR(INDEX(Catalogo!$C$5:$C$129,MATCH(A11,Catalogo!$A$5:$A$129,0)),"")</f>
        <v/>
      </c>
    </row>
    <row r="12">
      <c r="A12" s="13" t="inlineStr">
        <is>
          <t>ID8</t>
        </is>
      </c>
      <c r="B12" s="8" t="n">
        <v>0</v>
      </c>
      <c r="C12" s="8" t="n">
        <v>60</v>
      </c>
      <c r="D12" s="8" t="inlineStr">
        <is>
          <t>Mayor es mejor</t>
        </is>
      </c>
      <c r="E12" s="8" t="inlineStr">
        <is>
          <t>%</t>
        </is>
      </c>
      <c r="F12" s="8" t="inlineStr">
        <is>
          <t>Valor de referencia del modelo CONEAU 2026, ID8 [A4]</t>
        </is>
      </c>
      <c r="G12" s="8" t="inlineStr">
        <is>
          <t>Con fuente</t>
        </is>
      </c>
      <c r="H12" s="8" t="n"/>
      <c r="I12" s="8" t="n"/>
      <c r="J12" s="8" t="inlineStr">
        <is>
          <t>cumplimiento</t>
        </is>
      </c>
      <c r="K12" s="8" t="n"/>
      <c r="L12" s="8" t="inlineStr">
        <is>
          <t>Referencia del modelo; no equivale a una meta aprobada por la Facultad.</t>
        </is>
      </c>
      <c r="M12" s="8" t="inlineStr">
        <is>
          <t>Puntual</t>
        </is>
      </c>
      <c r="N12" s="8" t="inlineStr">
        <is>
          <t>Razón al esperado</t>
        </is>
      </c>
      <c r="O12" s="13">
        <f>IFERROR(INDEX(Catalogo!$C$5:$C$129,MATCH(A12,Catalogo!$A$5:$A$129,0)),"")</f>
        <v/>
      </c>
    </row>
    <row r="13">
      <c r="A13" s="13" t="inlineStr">
        <is>
          <t>ID9</t>
        </is>
      </c>
      <c r="B13" s="8" t="n">
        <v>0</v>
      </c>
      <c r="C13" s="8" t="n">
        <v>70</v>
      </c>
      <c r="D13" s="8" t="inlineStr">
        <is>
          <t>Mayor es mejor</t>
        </is>
      </c>
      <c r="E13" s="8" t="inlineStr">
        <is>
          <t>%</t>
        </is>
      </c>
      <c r="F13" s="8" t="inlineStr">
        <is>
          <t>Valor de referencia del modelo CONEAU 2026, ID9 [A4]</t>
        </is>
      </c>
      <c r="G13" s="8" t="inlineStr">
        <is>
          <t>Con fuente</t>
        </is>
      </c>
      <c r="H13" s="8" t="n"/>
      <c r="I13" s="8" t="n"/>
      <c r="J13" s="8" t="inlineStr">
        <is>
          <t>cumplimiento</t>
        </is>
      </c>
      <c r="K13" s="8" t="n"/>
      <c r="L13" s="8" t="inlineStr">
        <is>
          <t>Referencia del modelo; no equivale a una meta aprobada por la Facultad.</t>
        </is>
      </c>
      <c r="M13" s="8" t="inlineStr">
        <is>
          <t>Puntual</t>
        </is>
      </c>
      <c r="N13" s="8" t="inlineStr">
        <is>
          <t>Razón al esperado</t>
        </is>
      </c>
      <c r="O13" s="13">
        <f>IFERROR(INDEX(Catalogo!$C$5:$C$129,MATCH(A13,Catalogo!$A$5:$A$129,0)),"")</f>
        <v/>
      </c>
    </row>
    <row r="14">
      <c r="A14" s="13" t="inlineStr">
        <is>
          <t>ID10</t>
        </is>
      </c>
      <c r="B14" s="8" t="n">
        <v>0</v>
      </c>
      <c r="C14" s="8" t="n">
        <v>80</v>
      </c>
      <c r="D14" s="8" t="inlineStr">
        <is>
          <t>Mayor es mejor</t>
        </is>
      </c>
      <c r="E14" s="8" t="inlineStr">
        <is>
          <t>%</t>
        </is>
      </c>
      <c r="F14" s="8" t="inlineStr">
        <is>
          <t>Valor de referencia del modelo CONEAU 2026, ID10 [A4]</t>
        </is>
      </c>
      <c r="G14" s="8" t="inlineStr">
        <is>
          <t>Con fuente</t>
        </is>
      </c>
      <c r="H14" s="8" t="n"/>
      <c r="I14" s="8" t="n"/>
      <c r="J14" s="8" t="inlineStr">
        <is>
          <t>cumplimiento</t>
        </is>
      </c>
      <c r="K14" s="8" t="n"/>
      <c r="L14" s="8" t="inlineStr">
        <is>
          <t>Referencia del modelo; no equivale a una meta aprobada por la Facultad.</t>
        </is>
      </c>
      <c r="M14" s="8" t="inlineStr">
        <is>
          <t>Puntual</t>
        </is>
      </c>
      <c r="N14" s="8" t="inlineStr">
        <is>
          <t>Razón al esperado</t>
        </is>
      </c>
      <c r="O14" s="13">
        <f>IFERROR(INDEX(Catalogo!$C$5:$C$129,MATCH(A14,Catalogo!$A$5:$A$129,0)),"")</f>
        <v/>
      </c>
    </row>
    <row r="15">
      <c r="A15" s="13" t="inlineStr">
        <is>
          <t>ID11</t>
        </is>
      </c>
      <c r="B15" s="8" t="n">
        <v>0</v>
      </c>
      <c r="C15" s="8" t="n">
        <v>90</v>
      </c>
      <c r="D15" s="8" t="inlineStr">
        <is>
          <t>Mayor es mejor</t>
        </is>
      </c>
      <c r="E15" s="8" t="inlineStr">
        <is>
          <t>%</t>
        </is>
      </c>
      <c r="F15" s="8" t="inlineStr">
        <is>
          <t>Valor de referencia del modelo CONEAU 2026, ID11 [A4]</t>
        </is>
      </c>
      <c r="G15" s="8" t="inlineStr">
        <is>
          <t>Con fuente</t>
        </is>
      </c>
      <c r="H15" s="8" t="n"/>
      <c r="I15" s="8" t="n"/>
      <c r="J15" s="8" t="inlineStr">
        <is>
          <t>cumplimiento</t>
        </is>
      </c>
      <c r="K15" s="8" t="n"/>
      <c r="L15" s="8" t="inlineStr">
        <is>
          <t>Referencia del modelo; no equivale a una meta aprobada por la Facultad.</t>
        </is>
      </c>
      <c r="M15" s="8" t="inlineStr">
        <is>
          <t>Puntual</t>
        </is>
      </c>
      <c r="N15" s="8" t="inlineStr">
        <is>
          <t>Razón al esperado</t>
        </is>
      </c>
      <c r="O15" s="13">
        <f>IFERROR(INDEX(Catalogo!$C$5:$C$129,MATCH(A15,Catalogo!$A$5:$A$129,0)),"")</f>
        <v/>
      </c>
    </row>
    <row r="16">
      <c r="A16" s="13" t="inlineStr">
        <is>
          <t>ID12</t>
        </is>
      </c>
      <c r="B16" s="8" t="n">
        <v>0</v>
      </c>
      <c r="C16" s="8" t="n">
        <v>70</v>
      </c>
      <c r="D16" s="8" t="inlineStr">
        <is>
          <t>Mayor es mejor</t>
        </is>
      </c>
      <c r="E16" s="8" t="inlineStr">
        <is>
          <t>%</t>
        </is>
      </c>
      <c r="F16" s="8" t="inlineStr">
        <is>
          <t>Valor de referencia del modelo CONEAU 2026, ID12 [A4]</t>
        </is>
      </c>
      <c r="G16" s="8" t="inlineStr">
        <is>
          <t>Con fuente</t>
        </is>
      </c>
      <c r="H16" s="8" t="n"/>
      <c r="I16" s="8" t="n"/>
      <c r="J16" s="8" t="inlineStr">
        <is>
          <t>cumplimiento</t>
        </is>
      </c>
      <c r="K16" s="8" t="n"/>
      <c r="L16" s="8" t="inlineStr">
        <is>
          <t>Referencia del modelo; no equivale a una meta aprobada por la Facultad.</t>
        </is>
      </c>
      <c r="M16" s="8" t="inlineStr">
        <is>
          <t>Puntual</t>
        </is>
      </c>
      <c r="N16" s="8" t="inlineStr">
        <is>
          <t>Razón al esperado</t>
        </is>
      </c>
      <c r="O16" s="13">
        <f>IFERROR(INDEX(Catalogo!$C$5:$C$129,MATCH(A16,Catalogo!$A$5:$A$129,0)),"")</f>
        <v/>
      </c>
    </row>
    <row r="17">
      <c r="A17" s="13" t="inlineStr">
        <is>
          <t>ID13</t>
        </is>
      </c>
      <c r="B17" s="8" t="n">
        <v>0</v>
      </c>
      <c r="C17" s="8" t="n">
        <v>15</v>
      </c>
      <c r="D17" s="8" t="inlineStr">
        <is>
          <t>Mayor es mejor</t>
        </is>
      </c>
      <c r="E17" s="8" t="inlineStr">
        <is>
          <t>%</t>
        </is>
      </c>
      <c r="F17" s="8" t="inlineStr">
        <is>
          <t>Valor de referencia del modelo CONEAU 2026, ID13 [A4]</t>
        </is>
      </c>
      <c r="G17" s="8" t="inlineStr">
        <is>
          <t>Con fuente</t>
        </is>
      </c>
      <c r="H17" s="8" t="n"/>
      <c r="I17" s="8" t="n"/>
      <c r="J17" s="8" t="inlineStr">
        <is>
          <t>cumplimiento</t>
        </is>
      </c>
      <c r="K17" s="8" t="n"/>
      <c r="L17" s="8" t="inlineStr">
        <is>
          <t>Referencia del modelo; no equivale a una meta aprobada por la Facultad.</t>
        </is>
      </c>
      <c r="M17" s="8" t="inlineStr">
        <is>
          <t>Puntual</t>
        </is>
      </c>
      <c r="N17" s="8" t="inlineStr">
        <is>
          <t>Razón al esperado</t>
        </is>
      </c>
      <c r="O17" s="13">
        <f>IFERROR(INDEX(Catalogo!$C$5:$C$129,MATCH(A17,Catalogo!$A$5:$A$129,0)),"")</f>
        <v/>
      </c>
    </row>
    <row r="18">
      <c r="A18" s="13" t="inlineStr">
        <is>
          <t>ID14</t>
        </is>
      </c>
      <c r="B18" s="8" t="n">
        <v>0</v>
      </c>
      <c r="C18" s="8" t="n">
        <v>20</v>
      </c>
      <c r="D18" s="8" t="inlineStr">
        <is>
          <t>Mayor es mejor</t>
        </is>
      </c>
      <c r="E18" s="8" t="inlineStr">
        <is>
          <t>%</t>
        </is>
      </c>
      <c r="F18" s="8" t="inlineStr">
        <is>
          <t>Valor de referencia del modelo CONEAU 2026, ID14 [A4]</t>
        </is>
      </c>
      <c r="G18" s="8" t="inlineStr">
        <is>
          <t>Con fuente</t>
        </is>
      </c>
      <c r="H18" s="8" t="n"/>
      <c r="I18" s="8" t="n"/>
      <c r="J18" s="8" t="inlineStr">
        <is>
          <t>cumplimiento</t>
        </is>
      </c>
      <c r="K18" s="8" t="n"/>
      <c r="L18" s="8" t="inlineStr">
        <is>
          <t>Referencia del modelo; no equivale a una meta aprobada por la Facultad.</t>
        </is>
      </c>
      <c r="M18" s="8" t="inlineStr">
        <is>
          <t>Puntual</t>
        </is>
      </c>
      <c r="N18" s="8" t="inlineStr">
        <is>
          <t>Razón al esperado</t>
        </is>
      </c>
      <c r="O18" s="13">
        <f>IFERROR(INDEX(Catalogo!$C$5:$C$129,MATCH(A18,Catalogo!$A$5:$A$129,0)),"")</f>
        <v/>
      </c>
    </row>
    <row r="19">
      <c r="A19" s="13" t="inlineStr">
        <is>
          <t>ID15</t>
        </is>
      </c>
      <c r="B19" s="8" t="n">
        <v>0</v>
      </c>
      <c r="C19" s="8" t="n">
        <v>50</v>
      </c>
      <c r="D19" s="8" t="inlineStr">
        <is>
          <t>Mayor es mejor</t>
        </is>
      </c>
      <c r="E19" s="8" t="inlineStr">
        <is>
          <t>%</t>
        </is>
      </c>
      <c r="F19" s="8" t="inlineStr">
        <is>
          <t>Valor de referencia del modelo CONEAU 2026, ID15 [A4]</t>
        </is>
      </c>
      <c r="G19" s="8" t="inlineStr">
        <is>
          <t>Con fuente</t>
        </is>
      </c>
      <c r="H19" s="8" t="n"/>
      <c r="I19" s="8" t="n"/>
      <c r="J19" s="8" t="inlineStr">
        <is>
          <t>cumplimiento</t>
        </is>
      </c>
      <c r="K19" s="8" t="n"/>
      <c r="L19" s="8" t="inlineStr">
        <is>
          <t>Referencia del modelo; no equivale a una meta aprobada por la Facultad.</t>
        </is>
      </c>
      <c r="M19" s="8" t="inlineStr">
        <is>
          <t>Puntual</t>
        </is>
      </c>
      <c r="N19" s="8" t="inlineStr">
        <is>
          <t>Razón al esperado</t>
        </is>
      </c>
      <c r="O19" s="13">
        <f>IFERROR(INDEX(Catalogo!$C$5:$C$129,MATCH(A19,Catalogo!$A$5:$A$129,0)),"")</f>
        <v/>
      </c>
    </row>
    <row r="20">
      <c r="A20" s="13" t="inlineStr">
        <is>
          <t>ID16</t>
        </is>
      </c>
      <c r="B20" s="8" t="n">
        <v>0</v>
      </c>
      <c r="C20" s="8" t="n">
        <v>70</v>
      </c>
      <c r="D20" s="8" t="inlineStr">
        <is>
          <t>Mayor es mejor</t>
        </is>
      </c>
      <c r="E20" s="8" t="inlineStr">
        <is>
          <t>%</t>
        </is>
      </c>
      <c r="F20" s="8" t="inlineStr">
        <is>
          <t>Valor de referencia del modelo CONEAU 2026, ID16 [A4]</t>
        </is>
      </c>
      <c r="G20" s="8" t="inlineStr">
        <is>
          <t>Con fuente</t>
        </is>
      </c>
      <c r="H20" s="8" t="n"/>
      <c r="I20" s="8" t="n"/>
      <c r="J20" s="8" t="inlineStr">
        <is>
          <t>cumplimiento</t>
        </is>
      </c>
      <c r="K20" s="8" t="n"/>
      <c r="L20" s="8" t="inlineStr">
        <is>
          <t>Referencia del modelo; no equivale a una meta aprobada por la Facultad.</t>
        </is>
      </c>
      <c r="M20" s="8" t="inlineStr">
        <is>
          <t>Puntual</t>
        </is>
      </c>
      <c r="N20" s="8" t="inlineStr">
        <is>
          <t>Razón al esperado</t>
        </is>
      </c>
      <c r="O20" s="13">
        <f>IFERROR(INDEX(Catalogo!$C$5:$C$129,MATCH(A20,Catalogo!$A$5:$A$129,0)),"")</f>
        <v/>
      </c>
    </row>
    <row r="21">
      <c r="A21" s="13" t="inlineStr">
        <is>
          <t>ID17</t>
        </is>
      </c>
      <c r="B21" s="8" t="n">
        <v>0</v>
      </c>
      <c r="C21" s="8" t="n">
        <v>70</v>
      </c>
      <c r="D21" s="8" t="inlineStr">
        <is>
          <t>Mayor es mejor</t>
        </is>
      </c>
      <c r="E21" s="8" t="inlineStr">
        <is>
          <t>%</t>
        </is>
      </c>
      <c r="F21" s="8" t="inlineStr">
        <is>
          <t>Valor de referencia del modelo CONEAU 2026, ID17 [A4]</t>
        </is>
      </c>
      <c r="G21" s="8" t="inlineStr">
        <is>
          <t>Con fuente</t>
        </is>
      </c>
      <c r="H21" s="8" t="n"/>
      <c r="I21" s="8" t="n"/>
      <c r="J21" s="8" t="inlineStr">
        <is>
          <t>cumplimiento</t>
        </is>
      </c>
      <c r="K21" s="8" t="n"/>
      <c r="L21" s="8" t="inlineStr">
        <is>
          <t>Referencia del modelo; no equivale a una meta aprobada por la Facultad.</t>
        </is>
      </c>
      <c r="M21" s="8" t="inlineStr">
        <is>
          <t>Puntual</t>
        </is>
      </c>
      <c r="N21" s="8" t="inlineStr">
        <is>
          <t>Razón al esperado</t>
        </is>
      </c>
      <c r="O21" s="13">
        <f>IFERROR(INDEX(Catalogo!$C$5:$C$129,MATCH(A21,Catalogo!$A$5:$A$129,0)),"")</f>
        <v/>
      </c>
    </row>
    <row r="22">
      <c r="A22" s="13" t="inlineStr">
        <is>
          <t>ID18</t>
        </is>
      </c>
      <c r="B22" s="8" t="n">
        <v>0</v>
      </c>
      <c r="C22" s="8" t="n">
        <v>75</v>
      </c>
      <c r="D22" s="8" t="inlineStr">
        <is>
          <t>Mayor es mejor</t>
        </is>
      </c>
      <c r="E22" s="8" t="inlineStr">
        <is>
          <t>%</t>
        </is>
      </c>
      <c r="F22" s="8" t="inlineStr">
        <is>
          <t>Valor de referencia del modelo CONEAU 2026, ID18 [A4]</t>
        </is>
      </c>
      <c r="G22" s="8" t="inlineStr">
        <is>
          <t>Con fuente</t>
        </is>
      </c>
      <c r="H22" s="8" t="n"/>
      <c r="I22" s="8" t="n"/>
      <c r="J22" s="8" t="inlineStr">
        <is>
          <t>cumplimiento</t>
        </is>
      </c>
      <c r="K22" s="8" t="n"/>
      <c r="L22" s="8" t="inlineStr">
        <is>
          <t>Referencia del modelo; no equivale a una meta aprobada por la Facultad.</t>
        </is>
      </c>
      <c r="M22" s="8" t="inlineStr">
        <is>
          <t>Puntual</t>
        </is>
      </c>
      <c r="N22" s="8" t="inlineStr">
        <is>
          <t>Razón al esperado</t>
        </is>
      </c>
      <c r="O22" s="13">
        <f>IFERROR(INDEX(Catalogo!$C$5:$C$129,MATCH(A22,Catalogo!$A$5:$A$129,0)),"")</f>
        <v/>
      </c>
    </row>
    <row r="23">
      <c r="A23" s="13" t="inlineStr">
        <is>
          <t>ID19</t>
        </is>
      </c>
      <c r="B23" s="8" t="n">
        <v>0</v>
      </c>
      <c r="C23" s="8" t="n">
        <v>75</v>
      </c>
      <c r="D23" s="8" t="inlineStr">
        <is>
          <t>Mayor es mejor</t>
        </is>
      </c>
      <c r="E23" s="8" t="inlineStr">
        <is>
          <t>%</t>
        </is>
      </c>
      <c r="F23" s="8" t="inlineStr">
        <is>
          <t>Valor de referencia del modelo CONEAU 2026, ID19 [A4]</t>
        </is>
      </c>
      <c r="G23" s="8" t="inlineStr">
        <is>
          <t>Con fuente</t>
        </is>
      </c>
      <c r="H23" s="8" t="n"/>
      <c r="I23" s="8" t="n"/>
      <c r="J23" s="8" t="inlineStr">
        <is>
          <t>cumplimiento</t>
        </is>
      </c>
      <c r="K23" s="8" t="n"/>
      <c r="L23" s="8" t="inlineStr">
        <is>
          <t>Referencia del modelo; no equivale a una meta aprobada por la Facultad.</t>
        </is>
      </c>
      <c r="M23" s="8" t="inlineStr">
        <is>
          <t>Puntual</t>
        </is>
      </c>
      <c r="N23" s="8" t="inlineStr">
        <is>
          <t>Razón al esperado</t>
        </is>
      </c>
      <c r="O23" s="13">
        <f>IFERROR(INDEX(Catalogo!$C$5:$C$129,MATCH(A23,Catalogo!$A$5:$A$129,0)),"")</f>
        <v/>
      </c>
    </row>
    <row r="24">
      <c r="A24" s="13" t="inlineStr">
        <is>
          <t>ID20</t>
        </is>
      </c>
      <c r="B24" s="8" t="n">
        <v>0</v>
      </c>
      <c r="C24" s="8" t="n">
        <v>70</v>
      </c>
      <c r="D24" s="8" t="inlineStr">
        <is>
          <t>Mayor es mejor</t>
        </is>
      </c>
      <c r="E24" s="8" t="inlineStr">
        <is>
          <t>%</t>
        </is>
      </c>
      <c r="F24" s="8" t="inlineStr">
        <is>
          <t>Valor de referencia del modelo CONEAU 2026, ID20 [A4]</t>
        </is>
      </c>
      <c r="G24" s="8" t="inlineStr">
        <is>
          <t>Con fuente</t>
        </is>
      </c>
      <c r="H24" s="8" t="n"/>
      <c r="I24" s="8" t="n"/>
      <c r="J24" s="8" t="inlineStr">
        <is>
          <t>cumplimiento</t>
        </is>
      </c>
      <c r="K24" s="8" t="n"/>
      <c r="L24" s="8" t="inlineStr">
        <is>
          <t>Referencia del modelo; no equivale a una meta aprobada por la Facultad.</t>
        </is>
      </c>
      <c r="M24" s="8" t="inlineStr">
        <is>
          <t>Puntual</t>
        </is>
      </c>
      <c r="N24" s="8" t="inlineStr">
        <is>
          <t>Razón al esperado</t>
        </is>
      </c>
      <c r="O24" s="13">
        <f>IFERROR(INDEX(Catalogo!$C$5:$C$129,MATCH(A24,Catalogo!$A$5:$A$129,0)),"")</f>
        <v/>
      </c>
    </row>
    <row r="25">
      <c r="A25" s="13" t="inlineStr">
        <is>
          <t>ID21</t>
        </is>
      </c>
      <c r="B25" s="8" t="n">
        <v>0</v>
      </c>
      <c r="C25" s="8" t="n">
        <v>70</v>
      </c>
      <c r="D25" s="8" t="inlineStr">
        <is>
          <t>Mayor es mejor</t>
        </is>
      </c>
      <c r="E25" s="8" t="inlineStr">
        <is>
          <t>%</t>
        </is>
      </c>
      <c r="F25" s="8" t="inlineStr">
        <is>
          <t>Valor de referencia del modelo CONEAU 2026, ID21 [A4]</t>
        </is>
      </c>
      <c r="G25" s="8" t="inlineStr">
        <is>
          <t>Con fuente</t>
        </is>
      </c>
      <c r="H25" s="8" t="n"/>
      <c r="I25" s="8" t="n"/>
      <c r="J25" s="8" t="inlineStr">
        <is>
          <t>cumplimiento</t>
        </is>
      </c>
      <c r="K25" s="8" t="n"/>
      <c r="L25" s="8" t="inlineStr">
        <is>
          <t>Referencia del modelo; no equivale a una meta aprobada por la Facultad.</t>
        </is>
      </c>
      <c r="M25" s="8" t="inlineStr">
        <is>
          <t>Puntual</t>
        </is>
      </c>
      <c r="N25" s="8" t="inlineStr">
        <is>
          <t>Razón al esperado</t>
        </is>
      </c>
      <c r="O25" s="13">
        <f>IFERROR(INDEX(Catalogo!$C$5:$C$129,MATCH(A25,Catalogo!$A$5:$A$129,0)),"")</f>
        <v/>
      </c>
    </row>
    <row r="26">
      <c r="A26" s="13" t="inlineStr">
        <is>
          <t>ID22</t>
        </is>
      </c>
      <c r="B26" s="8" t="n">
        <v>0</v>
      </c>
      <c r="C26" s="8" t="n">
        <v>70</v>
      </c>
      <c r="D26" s="8" t="inlineStr">
        <is>
          <t>Mayor es mejor</t>
        </is>
      </c>
      <c r="E26" s="8" t="inlineStr">
        <is>
          <t>%</t>
        </is>
      </c>
      <c r="F26" s="8" t="inlineStr">
        <is>
          <t>Valor de referencia del modelo CONEAU 2026, ID22 [A4]</t>
        </is>
      </c>
      <c r="G26" s="8" t="inlineStr">
        <is>
          <t>Con fuente</t>
        </is>
      </c>
      <c r="H26" s="8" t="n"/>
      <c r="I26" s="8" t="n"/>
      <c r="J26" s="8" t="inlineStr">
        <is>
          <t>cumplimiento</t>
        </is>
      </c>
      <c r="K26" s="8" t="n"/>
      <c r="L26" s="8" t="inlineStr">
        <is>
          <t>Referencia del modelo; no equivale a una meta aprobada por la Facultad.</t>
        </is>
      </c>
      <c r="M26" s="8" t="inlineStr">
        <is>
          <t>Puntual</t>
        </is>
      </c>
      <c r="N26" s="8" t="inlineStr">
        <is>
          <t>Razón al esperado</t>
        </is>
      </c>
      <c r="O26" s="13">
        <f>IFERROR(INDEX(Catalogo!$C$5:$C$129,MATCH(A26,Catalogo!$A$5:$A$129,0)),"")</f>
        <v/>
      </c>
    </row>
    <row r="27">
      <c r="A27" s="13" t="inlineStr">
        <is>
          <t>ID23</t>
        </is>
      </c>
      <c r="B27" s="8" t="n">
        <v>0</v>
      </c>
      <c r="C27" s="8" t="n">
        <v>70</v>
      </c>
      <c r="D27" s="8" t="inlineStr">
        <is>
          <t>Mayor es mejor</t>
        </is>
      </c>
      <c r="E27" s="8" t="inlineStr">
        <is>
          <t>%</t>
        </is>
      </c>
      <c r="F27" s="8" t="inlineStr">
        <is>
          <t>Valor de referencia del modelo CONEAU 2026, ID23 [A4]</t>
        </is>
      </c>
      <c r="G27" s="8" t="inlineStr">
        <is>
          <t>Con fuente</t>
        </is>
      </c>
      <c r="H27" s="8" t="n"/>
      <c r="I27" s="8" t="n"/>
      <c r="J27" s="8" t="inlineStr">
        <is>
          <t>cumplimiento</t>
        </is>
      </c>
      <c r="K27" s="8" t="n"/>
      <c r="L27" s="8" t="inlineStr">
        <is>
          <t>Referencia del modelo; no equivale a una meta aprobada por la Facultad.</t>
        </is>
      </c>
      <c r="M27" s="8" t="inlineStr">
        <is>
          <t>Puntual</t>
        </is>
      </c>
      <c r="N27" s="8" t="inlineStr">
        <is>
          <t>Razón al esperado</t>
        </is>
      </c>
      <c r="O27" s="13">
        <f>IFERROR(INDEX(Catalogo!$C$5:$C$129,MATCH(A27,Catalogo!$A$5:$A$129,0)),"")</f>
        <v/>
      </c>
    </row>
    <row r="28">
      <c r="A28" s="13" t="inlineStr">
        <is>
          <t>ID24</t>
        </is>
      </c>
      <c r="B28" s="8" t="n">
        <v>0</v>
      </c>
      <c r="C28" s="8" t="n">
        <v>70</v>
      </c>
      <c r="D28" s="8" t="inlineStr">
        <is>
          <t>Mayor es mejor</t>
        </is>
      </c>
      <c r="E28" s="8" t="inlineStr">
        <is>
          <t>%</t>
        </is>
      </c>
      <c r="F28" s="8" t="inlineStr">
        <is>
          <t>Valor de referencia del modelo CONEAU 2026, ID24 [A4]</t>
        </is>
      </c>
      <c r="G28" s="8" t="inlineStr">
        <is>
          <t>Con fuente</t>
        </is>
      </c>
      <c r="H28" s="8" t="n"/>
      <c r="I28" s="8" t="n"/>
      <c r="J28" s="8" t="inlineStr">
        <is>
          <t>cumplimiento</t>
        </is>
      </c>
      <c r="K28" s="8" t="n"/>
      <c r="L28" s="8" t="inlineStr">
        <is>
          <t>Referencia del modelo; no equivale a una meta aprobada por la Facultad.</t>
        </is>
      </c>
      <c r="M28" s="8" t="inlineStr">
        <is>
          <t>Puntual</t>
        </is>
      </c>
      <c r="N28" s="8" t="inlineStr">
        <is>
          <t>Razón al esperado</t>
        </is>
      </c>
      <c r="O28" s="13">
        <f>IFERROR(INDEX(Catalogo!$C$5:$C$129,MATCH(A28,Catalogo!$A$5:$A$129,0)),"")</f>
        <v/>
      </c>
    </row>
    <row r="29">
      <c r="A29" s="13" t="inlineStr">
        <is>
          <t>ID25</t>
        </is>
      </c>
      <c r="B29" s="8" t="n">
        <v>0</v>
      </c>
      <c r="C29" s="8" t="n">
        <v>2</v>
      </c>
      <c r="D29" s="8" t="inlineStr">
        <is>
          <t>Menor es mejor</t>
        </is>
      </c>
      <c r="E29" s="8" t="inlineStr">
        <is>
          <t>años</t>
        </is>
      </c>
      <c r="F29" s="8" t="inlineStr">
        <is>
          <t>Valor de referencia del modelo CONEAU 2026, ID25 [A4]</t>
        </is>
      </c>
      <c r="G29" s="8" t="inlineStr">
        <is>
          <t>Con fuente</t>
        </is>
      </c>
      <c r="H29" s="8" t="n"/>
      <c r="I29" s="8" t="n"/>
      <c r="J29" s="8" t="inlineStr">
        <is>
          <t>cumplimiento</t>
        </is>
      </c>
      <c r="K29" s="8" t="n"/>
      <c r="L29" s="8" t="inlineStr">
        <is>
          <t>Referencia del modelo; no equivale a una meta aprobada por la Facultad. Es un tiempo: cumple si el valor es menor o igual al referencial (indicación de Robert, 20-10-2026). La ficha del Modelo dice «menor a», sin el igual: por confirmar el caso límite.</t>
        </is>
      </c>
      <c r="M29" s="8" t="inlineStr">
        <is>
          <t>Puntual</t>
        </is>
      </c>
      <c r="N29" s="8" t="inlineStr">
        <is>
          <t>Cumple si es menor o igual al referencial</t>
        </is>
      </c>
      <c r="O29" s="13">
        <f>IFERROR(INDEX(Catalogo!$C$5:$C$129,MATCH(A29,Catalogo!$A$5:$A$129,0)),"")</f>
        <v/>
      </c>
    </row>
    <row r="30">
      <c r="A30" s="13" t="inlineStr">
        <is>
          <t>ID26</t>
        </is>
      </c>
      <c r="B30" s="8" t="n">
        <v>0</v>
      </c>
      <c r="C30" s="8" t="n">
        <v>1</v>
      </c>
      <c r="D30" s="8" t="inlineStr">
        <is>
          <t>Menor es mejor</t>
        </is>
      </c>
      <c r="E30" s="8" t="inlineStr">
        <is>
          <t>años</t>
        </is>
      </c>
      <c r="F30" s="8" t="inlineStr">
        <is>
          <t>Valor de referencia del modelo CONEAU 2026, ID26 [A4]</t>
        </is>
      </c>
      <c r="G30" s="8" t="inlineStr">
        <is>
          <t>Con fuente</t>
        </is>
      </c>
      <c r="H30" s="8" t="n"/>
      <c r="I30" s="8" t="n"/>
      <c r="J30" s="8" t="inlineStr">
        <is>
          <t>cumplimiento</t>
        </is>
      </c>
      <c r="K30" s="8" t="n"/>
      <c r="L30" s="8" t="inlineStr">
        <is>
          <t>Referencia del modelo; no equivale a una meta aprobada por la Facultad. Es un tiempo: cumple si el valor es menor o igual al referencial (indicación de Robert, 20-10-2026). La ficha del Modelo dice «menor a», sin el igual: por confirmar el caso límite.</t>
        </is>
      </c>
      <c r="M30" s="8" t="inlineStr">
        <is>
          <t>Puntual</t>
        </is>
      </c>
      <c r="N30" s="8" t="inlineStr">
        <is>
          <t>Cumple si es menor o igual al referencial</t>
        </is>
      </c>
      <c r="O30" s="13">
        <f>IFERROR(INDEX(Catalogo!$C$5:$C$129,MATCH(A30,Catalogo!$A$5:$A$129,0)),"")</f>
        <v/>
      </c>
    </row>
    <row r="31">
      <c r="A31" s="13" t="inlineStr">
        <is>
          <t>ID27</t>
        </is>
      </c>
      <c r="B31" s="8" t="n">
        <v>0</v>
      </c>
      <c r="C31" s="8" t="n">
        <v>50</v>
      </c>
      <c r="D31" s="8" t="inlineStr">
        <is>
          <t>Mayor es mejor</t>
        </is>
      </c>
      <c r="E31" s="8" t="inlineStr">
        <is>
          <t>%</t>
        </is>
      </c>
      <c r="F31" s="8" t="inlineStr">
        <is>
          <t>Valor de referencia del modelo CONEAU 2026, ID27 [A4]</t>
        </is>
      </c>
      <c r="G31" s="8" t="inlineStr">
        <is>
          <t>Con fuente</t>
        </is>
      </c>
      <c r="H31" s="8" t="n"/>
      <c r="I31" s="8" t="n"/>
      <c r="J31" s="8" t="inlineStr">
        <is>
          <t>cumplimiento</t>
        </is>
      </c>
      <c r="K31" s="8" t="n"/>
      <c r="L31" s="8" t="inlineStr">
        <is>
          <t>Referencia del modelo; no equivale a una meta aprobada por la Facultad.</t>
        </is>
      </c>
      <c r="M31" s="8" t="inlineStr">
        <is>
          <t>Puntual</t>
        </is>
      </c>
      <c r="N31" s="8" t="inlineStr">
        <is>
          <t>Razón al esperado</t>
        </is>
      </c>
      <c r="O31" s="13">
        <f>IFERROR(INDEX(Catalogo!$C$5:$C$129,MATCH(A31,Catalogo!$A$5:$A$129,0)),"")</f>
        <v/>
      </c>
    </row>
    <row r="32">
      <c r="A32" s="13" t="inlineStr">
        <is>
          <t>ID28</t>
        </is>
      </c>
      <c r="B32" s="8" t="n">
        <v>0</v>
      </c>
      <c r="C32" s="8" t="n">
        <v>60</v>
      </c>
      <c r="D32" s="8" t="inlineStr">
        <is>
          <t>Mayor es mejor</t>
        </is>
      </c>
      <c r="E32" s="8" t="inlineStr">
        <is>
          <t>%</t>
        </is>
      </c>
      <c r="F32" s="8" t="inlineStr">
        <is>
          <t>Valor de referencia del modelo CONEAU 2026, ID28 [A4]</t>
        </is>
      </c>
      <c r="G32" s="8" t="inlineStr">
        <is>
          <t>Con fuente</t>
        </is>
      </c>
      <c r="H32" s="8" t="n"/>
      <c r="I32" s="8" t="n"/>
      <c r="J32" s="8" t="inlineStr">
        <is>
          <t>cumplimiento</t>
        </is>
      </c>
      <c r="K32" s="8" t="n"/>
      <c r="L32" s="8" t="inlineStr">
        <is>
          <t>Referencia del modelo; no equivale a una meta aprobada por la Facultad.</t>
        </is>
      </c>
      <c r="M32" s="8" t="inlineStr">
        <is>
          <t>Puntual</t>
        </is>
      </c>
      <c r="N32" s="8" t="inlineStr">
        <is>
          <t>Razón al esperado</t>
        </is>
      </c>
      <c r="O32" s="13">
        <f>IFERROR(INDEX(Catalogo!$C$5:$C$129,MATCH(A32,Catalogo!$A$5:$A$129,0)),"")</f>
        <v/>
      </c>
    </row>
    <row r="33">
      <c r="A33" s="13" t="inlineStr">
        <is>
          <t>ID29</t>
        </is>
      </c>
      <c r="B33" s="8" t="n">
        <v>0</v>
      </c>
      <c r="C33" s="8" t="n">
        <v>70</v>
      </c>
      <c r="D33" s="8" t="inlineStr">
        <is>
          <t>Mayor es mejor</t>
        </is>
      </c>
      <c r="E33" s="8" t="inlineStr">
        <is>
          <t>%</t>
        </is>
      </c>
      <c r="F33" s="8" t="inlineStr">
        <is>
          <t>Valor de referencia del modelo CONEAU 2026, ID29 [A4]</t>
        </is>
      </c>
      <c r="G33" s="8" t="inlineStr">
        <is>
          <t>Con fuente</t>
        </is>
      </c>
      <c r="H33" s="8" t="n"/>
      <c r="I33" s="8" t="n"/>
      <c r="J33" s="8" t="inlineStr">
        <is>
          <t>cumplimiento</t>
        </is>
      </c>
      <c r="K33" s="8" t="n"/>
      <c r="L33" s="8" t="inlineStr">
        <is>
          <t>Referencia del modelo; no equivale a una meta aprobada por la Facultad.</t>
        </is>
      </c>
      <c r="M33" s="8" t="inlineStr">
        <is>
          <t>Puntual</t>
        </is>
      </c>
      <c r="N33" s="8" t="inlineStr">
        <is>
          <t>Razón al esperado</t>
        </is>
      </c>
      <c r="O33" s="13">
        <f>IFERROR(INDEX(Catalogo!$C$5:$C$129,MATCH(A33,Catalogo!$A$5:$A$129,0)),"")</f>
        <v/>
      </c>
    </row>
    <row r="34">
      <c r="A34" s="13" t="inlineStr">
        <is>
          <t>PS05-I1</t>
        </is>
      </c>
      <c r="B34" s="8" t="n"/>
      <c r="C34" s="8" t="n"/>
      <c r="D34" s="8" t="inlineStr">
        <is>
          <t>Por definir</t>
        </is>
      </c>
      <c r="E34" s="8" t="inlineStr">
        <is>
          <t>%</t>
        </is>
      </c>
      <c r="F34" s="8" t="n"/>
      <c r="G34" s="8" t="inlineStr">
        <is>
          <t>Por definir</t>
        </is>
      </c>
      <c r="H34" s="8" t="n"/>
      <c r="I34" s="8" t="n"/>
      <c r="J34" s="8" t="n"/>
      <c r="K34" s="8" t="n"/>
      <c r="L34" s="8" t="n"/>
      <c r="M34" s="8" t="inlineStr">
        <is>
          <t>Puntual</t>
        </is>
      </c>
      <c r="N34" s="8" t="inlineStr">
        <is>
          <t>Razón al esperado</t>
        </is>
      </c>
      <c r="O34" s="13">
        <f>IFERROR(INDEX(Catalogo!$C$5:$C$129,MATCH(A34,Catalogo!$A$5:$A$129,0)),"")</f>
        <v/>
      </c>
    </row>
    <row r="35">
      <c r="A35" s="13" t="inlineStr">
        <is>
          <t>PS05-I2</t>
        </is>
      </c>
      <c r="B35" s="8" t="n"/>
      <c r="C35" s="8" t="n"/>
      <c r="D35" s="8" t="inlineStr">
        <is>
          <t>Por definir</t>
        </is>
      </c>
      <c r="E35" s="8" t="inlineStr">
        <is>
          <t>%</t>
        </is>
      </c>
      <c r="F35" s="8" t="n"/>
      <c r="G35" s="8" t="inlineStr">
        <is>
          <t>Por definir</t>
        </is>
      </c>
      <c r="H35" s="8" t="n"/>
      <c r="I35" s="8" t="n"/>
      <c r="J35" s="8" t="n"/>
      <c r="K35" s="8" t="n"/>
      <c r="L35" s="8" t="n"/>
      <c r="M35" s="8" t="inlineStr">
        <is>
          <t>Puntual</t>
        </is>
      </c>
      <c r="N35" s="8" t="inlineStr">
        <is>
          <t>Razón al esperado</t>
        </is>
      </c>
      <c r="O35" s="13">
        <f>IFERROR(INDEX(Catalogo!$C$5:$C$129,MATCH(A35,Catalogo!$A$5:$A$129,0)),"")</f>
        <v/>
      </c>
    </row>
    <row r="36">
      <c r="A36" s="13" t="inlineStr">
        <is>
          <t>PS05-I3</t>
        </is>
      </c>
      <c r="B36" s="8" t="n"/>
      <c r="C36" s="8" t="n"/>
      <c r="D36" s="8" t="inlineStr">
        <is>
          <t>Por definir</t>
        </is>
      </c>
      <c r="E36" s="8" t="inlineStr">
        <is>
          <t>días</t>
        </is>
      </c>
      <c r="F36" s="8" t="n"/>
      <c r="G36" s="8" t="inlineStr">
        <is>
          <t>Por definir</t>
        </is>
      </c>
      <c r="H36" s="8" t="n"/>
      <c r="I36" s="8" t="n"/>
      <c r="J36" s="8" t="n"/>
      <c r="K36" s="8" t="n"/>
      <c r="L36" s="8" t="n"/>
      <c r="M36" s="8" t="inlineStr">
        <is>
          <t>Puntual</t>
        </is>
      </c>
      <c r="N36" s="8" t="inlineStr">
        <is>
          <t>Razón al esperado</t>
        </is>
      </c>
      <c r="O36" s="13">
        <f>IFERROR(INDEX(Catalogo!$C$5:$C$129,MATCH(A36,Catalogo!$A$5:$A$129,0)),"")</f>
        <v/>
      </c>
    </row>
    <row r="37">
      <c r="A37" s="13" t="inlineStr">
        <is>
          <t>PS05-I4</t>
        </is>
      </c>
      <c r="B37" s="8" t="n"/>
      <c r="C37" s="8" t="n"/>
      <c r="D37" s="8" t="inlineStr">
        <is>
          <t>Por definir</t>
        </is>
      </c>
      <c r="E37" s="8" t="inlineStr">
        <is>
          <t>%</t>
        </is>
      </c>
      <c r="F37" s="8" t="n"/>
      <c r="G37" s="8" t="inlineStr">
        <is>
          <t>Por definir</t>
        </is>
      </c>
      <c r="H37" s="8" t="n"/>
      <c r="I37" s="8" t="n"/>
      <c r="J37" s="8" t="n"/>
      <c r="K37" s="8" t="n"/>
      <c r="L37" s="8" t="n"/>
      <c r="M37" s="8" t="inlineStr">
        <is>
          <t>Puntual</t>
        </is>
      </c>
      <c r="N37" s="8" t="inlineStr">
        <is>
          <t>Razón al esperado</t>
        </is>
      </c>
      <c r="O37" s="13">
        <f>IFERROR(INDEX(Catalogo!$C$5:$C$129,MATCH(A37,Catalogo!$A$5:$A$129,0)),"")</f>
        <v/>
      </c>
    </row>
    <row r="38">
      <c r="A38" s="13" t="inlineStr">
        <is>
          <t>ME05-I1</t>
        </is>
      </c>
      <c r="B38" s="8" t="n"/>
      <c r="C38" s="8" t="n"/>
      <c r="D38" s="8" t="inlineStr">
        <is>
          <t>Por definir</t>
        </is>
      </c>
      <c r="E38" s="8" t="inlineStr">
        <is>
          <t>%</t>
        </is>
      </c>
      <c r="F38" s="8" t="n"/>
      <c r="G38" s="8" t="inlineStr">
        <is>
          <t>Por definir</t>
        </is>
      </c>
      <c r="H38" s="8" t="n"/>
      <c r="I38" s="8" t="n"/>
      <c r="J38" s="8" t="n"/>
      <c r="K38" s="8" t="n"/>
      <c r="L38" s="8" t="n"/>
      <c r="M38" s="8" t="inlineStr">
        <is>
          <t>Puntual</t>
        </is>
      </c>
      <c r="N38" s="8" t="inlineStr">
        <is>
          <t>Razón al esperado</t>
        </is>
      </c>
      <c r="O38" s="13">
        <f>IFERROR(INDEX(Catalogo!$C$5:$C$129,MATCH(A38,Catalogo!$A$5:$A$129,0)),"")</f>
        <v/>
      </c>
    </row>
    <row r="39">
      <c r="A39" s="13" t="inlineStr">
        <is>
          <t>ME05-I2</t>
        </is>
      </c>
      <c r="B39" s="8" t="n"/>
      <c r="C39" s="8" t="n"/>
      <c r="D39" s="8" t="inlineStr">
        <is>
          <t>Por definir</t>
        </is>
      </c>
      <c r="E39" s="8" t="inlineStr">
        <is>
          <t>%</t>
        </is>
      </c>
      <c r="F39" s="8" t="n"/>
      <c r="G39" s="8" t="inlineStr">
        <is>
          <t>Por definir</t>
        </is>
      </c>
      <c r="H39" s="8" t="n"/>
      <c r="I39" s="8" t="n"/>
      <c r="J39" s="8" t="n"/>
      <c r="K39" s="8" t="n"/>
      <c r="L39" s="8" t="n"/>
      <c r="M39" s="8" t="inlineStr">
        <is>
          <t>Puntual</t>
        </is>
      </c>
      <c r="N39" s="8" t="inlineStr">
        <is>
          <t>Razón al esperado</t>
        </is>
      </c>
      <c r="O39" s="13">
        <f>IFERROR(INDEX(Catalogo!$C$5:$C$129,MATCH(A39,Catalogo!$A$5:$A$129,0)),"")</f>
        <v/>
      </c>
    </row>
    <row r="40">
      <c r="A40" s="13" t="inlineStr">
        <is>
          <t>ME05-I3</t>
        </is>
      </c>
      <c r="B40" s="8" t="n"/>
      <c r="C40" s="8" t="n"/>
      <c r="D40" s="8" t="inlineStr">
        <is>
          <t>Por definir</t>
        </is>
      </c>
      <c r="E40" s="8" t="inlineStr">
        <is>
          <t>%</t>
        </is>
      </c>
      <c r="F40" s="8" t="n"/>
      <c r="G40" s="8" t="inlineStr">
        <is>
          <t>Por definir</t>
        </is>
      </c>
      <c r="H40" s="8" t="n"/>
      <c r="I40" s="8" t="n"/>
      <c r="J40" s="8" t="n"/>
      <c r="K40" s="8" t="n"/>
      <c r="L40" s="8" t="n"/>
      <c r="M40" s="8" t="inlineStr">
        <is>
          <t>Puntual</t>
        </is>
      </c>
      <c r="N40" s="8" t="inlineStr">
        <is>
          <t>Razón al esperado</t>
        </is>
      </c>
      <c r="O40" s="13">
        <f>IFERROR(INDEX(Catalogo!$C$5:$C$129,MATCH(A40,Catalogo!$A$5:$A$129,0)),"")</f>
        <v/>
      </c>
    </row>
    <row r="41">
      <c r="A41" s="13" t="inlineStr">
        <is>
          <t>ME05-I4</t>
        </is>
      </c>
      <c r="B41" s="8" t="n"/>
      <c r="C41" s="8" t="n"/>
      <c r="D41" s="8" t="inlineStr">
        <is>
          <t>Por definir</t>
        </is>
      </c>
      <c r="E41" s="8" t="inlineStr">
        <is>
          <t>%</t>
        </is>
      </c>
      <c r="F41" s="8" t="n"/>
      <c r="G41" s="8" t="inlineStr">
        <is>
          <t>Por definir</t>
        </is>
      </c>
      <c r="H41" s="8" t="n"/>
      <c r="I41" s="8" t="n"/>
      <c r="J41" s="8" t="n"/>
      <c r="K41" s="8" t="n"/>
      <c r="L41" s="8" t="n"/>
      <c r="M41" s="8" t="inlineStr">
        <is>
          <t>Puntual</t>
        </is>
      </c>
      <c r="N41" s="8" t="inlineStr">
        <is>
          <t>Razón al esperado</t>
        </is>
      </c>
      <c r="O41" s="13">
        <f>IFERROR(INDEX(Catalogo!$C$5:$C$129,MATCH(A41,Catalogo!$A$5:$A$129,0)),"")</f>
        <v/>
      </c>
    </row>
    <row r="42">
      <c r="A42" s="13" t="inlineStr">
        <is>
          <t>ME04-I1</t>
        </is>
      </c>
      <c r="B42" s="8" t="n"/>
      <c r="C42" s="8" t="n"/>
      <c r="D42" s="8" t="inlineStr">
        <is>
          <t>Por definir</t>
        </is>
      </c>
      <c r="E42" s="8" t="inlineStr">
        <is>
          <t>%</t>
        </is>
      </c>
      <c r="F42" s="8" t="n"/>
      <c r="G42" s="8" t="inlineStr">
        <is>
          <t>Por definir</t>
        </is>
      </c>
      <c r="H42" s="8" t="n"/>
      <c r="I42" s="8" t="n"/>
      <c r="J42" s="8" t="n"/>
      <c r="K42" s="8" t="n"/>
      <c r="L42" s="8" t="n"/>
      <c r="M42" s="8" t="inlineStr">
        <is>
          <t>Puntual</t>
        </is>
      </c>
      <c r="N42" s="8" t="inlineStr">
        <is>
          <t>Razón al esperado</t>
        </is>
      </c>
      <c r="O42" s="13">
        <f>IFERROR(INDEX(Catalogo!$C$5:$C$129,MATCH(A42,Catalogo!$A$5:$A$129,0)),"")</f>
        <v/>
      </c>
    </row>
    <row r="43">
      <c r="A43" s="13" t="inlineStr">
        <is>
          <t>ME04-I2</t>
        </is>
      </c>
      <c r="B43" s="8" t="n"/>
      <c r="C43" s="8" t="n"/>
      <c r="D43" s="8" t="inlineStr">
        <is>
          <t>Por definir</t>
        </is>
      </c>
      <c r="E43" s="8" t="inlineStr">
        <is>
          <t>%</t>
        </is>
      </c>
      <c r="F43" s="8" t="n"/>
      <c r="G43" s="8" t="inlineStr">
        <is>
          <t>Por definir</t>
        </is>
      </c>
      <c r="H43" s="8" t="n"/>
      <c r="I43" s="8" t="n"/>
      <c r="J43" s="8" t="n"/>
      <c r="K43" s="8" t="n"/>
      <c r="L43" s="8" t="n"/>
      <c r="M43" s="8" t="inlineStr">
        <is>
          <t>Puntual</t>
        </is>
      </c>
      <c r="N43" s="8" t="inlineStr">
        <is>
          <t>Razón al esperado</t>
        </is>
      </c>
      <c r="O43" s="13">
        <f>IFERROR(INDEX(Catalogo!$C$5:$C$129,MATCH(A43,Catalogo!$A$5:$A$129,0)),"")</f>
        <v/>
      </c>
    </row>
    <row r="44">
      <c r="A44" s="13" t="inlineStr">
        <is>
          <t>ME04-I3</t>
        </is>
      </c>
      <c r="B44" s="8" t="n"/>
      <c r="C44" s="8" t="n"/>
      <c r="D44" s="8" t="inlineStr">
        <is>
          <t>Por definir</t>
        </is>
      </c>
      <c r="E44" s="8" t="inlineStr">
        <is>
          <t>%</t>
        </is>
      </c>
      <c r="F44" s="8" t="n"/>
      <c r="G44" s="8" t="inlineStr">
        <is>
          <t>Por definir</t>
        </is>
      </c>
      <c r="H44" s="8" t="n"/>
      <c r="I44" s="8" t="n"/>
      <c r="J44" s="8" t="n"/>
      <c r="K44" s="8" t="n"/>
      <c r="L44" s="8" t="n"/>
      <c r="M44" s="8" t="inlineStr">
        <is>
          <t>Puntual</t>
        </is>
      </c>
      <c r="N44" s="8" t="inlineStr">
        <is>
          <t>Razón al esperado</t>
        </is>
      </c>
      <c r="O44" s="13">
        <f>IFERROR(INDEX(Catalogo!$C$5:$C$129,MATCH(A44,Catalogo!$A$5:$A$129,0)),"")</f>
        <v/>
      </c>
    </row>
    <row r="45">
      <c r="A45" s="13" t="inlineStr">
        <is>
          <t>ME04-I4</t>
        </is>
      </c>
      <c r="B45" s="8" t="n"/>
      <c r="C45" s="8" t="n"/>
      <c r="D45" s="8" t="inlineStr">
        <is>
          <t>Por definir</t>
        </is>
      </c>
      <c r="E45" s="8" t="inlineStr">
        <is>
          <t>%</t>
        </is>
      </c>
      <c r="F45" s="8" t="n"/>
      <c r="G45" s="8" t="inlineStr">
        <is>
          <t>Por definir</t>
        </is>
      </c>
      <c r="H45" s="8" t="n"/>
      <c r="I45" s="8" t="n"/>
      <c r="J45" s="8" t="n"/>
      <c r="K45" s="8" t="n"/>
      <c r="L45" s="8" t="n"/>
      <c r="M45" s="8" t="inlineStr">
        <is>
          <t>Puntual</t>
        </is>
      </c>
      <c r="N45" s="8" t="inlineStr">
        <is>
          <t>Razón al esperado</t>
        </is>
      </c>
      <c r="O45" s="13">
        <f>IFERROR(INDEX(Catalogo!$C$5:$C$129,MATCH(A45,Catalogo!$A$5:$A$129,0)),"")</f>
        <v/>
      </c>
    </row>
    <row r="46">
      <c r="A46" s="13" t="inlineStr">
        <is>
          <t>PE02-I1</t>
        </is>
      </c>
      <c r="B46" s="8" t="n"/>
      <c r="C46" s="8" t="n"/>
      <c r="D46" s="8" t="inlineStr">
        <is>
          <t>Por definir</t>
        </is>
      </c>
      <c r="E46" s="8" t="inlineStr">
        <is>
          <t>%</t>
        </is>
      </c>
      <c r="F46" s="8" t="n"/>
      <c r="G46" s="8" t="inlineStr">
        <is>
          <t>Por definir</t>
        </is>
      </c>
      <c r="H46" s="8" t="n"/>
      <c r="I46" s="8" t="n"/>
      <c r="J46" s="8" t="n"/>
      <c r="K46" s="8" t="n"/>
      <c r="L46" s="8" t="n"/>
      <c r="M46" s="8" t="inlineStr">
        <is>
          <t>Puntual</t>
        </is>
      </c>
      <c r="N46" s="8" t="inlineStr">
        <is>
          <t>Razón al esperado</t>
        </is>
      </c>
      <c r="O46" s="13">
        <f>IFERROR(INDEX(Catalogo!$C$5:$C$129,MATCH(A46,Catalogo!$A$5:$A$129,0)),"")</f>
        <v/>
      </c>
    </row>
    <row r="47">
      <c r="A47" s="13" t="inlineStr">
        <is>
          <t>PE02-I2</t>
        </is>
      </c>
      <c r="B47" s="8" t="n"/>
      <c r="C47" s="8" t="n"/>
      <c r="D47" s="8" t="inlineStr">
        <is>
          <t>Por definir</t>
        </is>
      </c>
      <c r="E47" s="8" t="inlineStr">
        <is>
          <t>%</t>
        </is>
      </c>
      <c r="F47" s="8" t="n"/>
      <c r="G47" s="8" t="inlineStr">
        <is>
          <t>Por definir</t>
        </is>
      </c>
      <c r="H47" s="8" t="n"/>
      <c r="I47" s="8" t="n"/>
      <c r="J47" s="8" t="n"/>
      <c r="K47" s="8" t="n"/>
      <c r="L47" s="8" t="n"/>
      <c r="M47" s="8" t="inlineStr">
        <is>
          <t>Puntual</t>
        </is>
      </c>
      <c r="N47" s="8" t="inlineStr">
        <is>
          <t>Razón al esperado</t>
        </is>
      </c>
      <c r="O47" s="13">
        <f>IFERROR(INDEX(Catalogo!$C$5:$C$129,MATCH(A47,Catalogo!$A$5:$A$129,0)),"")</f>
        <v/>
      </c>
    </row>
    <row r="48">
      <c r="A48" s="13" t="inlineStr">
        <is>
          <t>PE02-I3</t>
        </is>
      </c>
      <c r="B48" s="8" t="n"/>
      <c r="C48" s="8" t="n"/>
      <c r="D48" s="8" t="inlineStr">
        <is>
          <t>Por definir</t>
        </is>
      </c>
      <c r="E48" s="8" t="inlineStr">
        <is>
          <t>%</t>
        </is>
      </c>
      <c r="F48" s="8" t="n"/>
      <c r="G48" s="8" t="inlineStr">
        <is>
          <t>Por definir</t>
        </is>
      </c>
      <c r="H48" s="8" t="n"/>
      <c r="I48" s="8" t="n"/>
      <c r="J48" s="8" t="n"/>
      <c r="K48" s="8" t="n"/>
      <c r="L48" s="8" t="n"/>
      <c r="M48" s="8" t="inlineStr">
        <is>
          <t>Puntual</t>
        </is>
      </c>
      <c r="N48" s="8" t="inlineStr">
        <is>
          <t>Razón al esperado</t>
        </is>
      </c>
      <c r="O48" s="13">
        <f>IFERROR(INDEX(Catalogo!$C$5:$C$129,MATCH(A48,Catalogo!$A$5:$A$129,0)),"")</f>
        <v/>
      </c>
    </row>
    <row r="49">
      <c r="A49" s="13" t="inlineStr">
        <is>
          <t>PE02-I4</t>
        </is>
      </c>
      <c r="B49" s="8" t="n">
        <v>2024</v>
      </c>
      <c r="C49" s="8" t="n">
        <v>20</v>
      </c>
      <c r="D49" s="8" t="inlineStr">
        <is>
          <t>Mayor es mejor</t>
        </is>
      </c>
      <c r="E49" s="8" t="inlineStr">
        <is>
          <t>%</t>
        </is>
      </c>
      <c r="F49" s="8" t="inlineStr">
        <is>
          <t>PE FM AE.01.04: 20 % en 2024 [A11] p. 16 y 28</t>
        </is>
      </c>
      <c r="G49" s="8" t="inlineStr">
        <is>
          <t>Con fuente</t>
        </is>
      </c>
      <c r="H49" s="8" t="n"/>
      <c r="I49" s="8" t="n"/>
      <c r="J49" s="8" t="inlineStr">
        <is>
          <t>cumplimiento</t>
        </is>
      </c>
      <c r="K49" s="8" t="n"/>
      <c r="L49" s="8" t="inlineStr">
        <is>
          <t>Contradicción 1: el estado informado por la OCAA [A10] y el MAGPROF [A8] no coinciden con el PE FM.</t>
        </is>
      </c>
      <c r="M49" s="8" t="inlineStr">
        <is>
          <t>Puntual</t>
        </is>
      </c>
      <c r="N49" s="8" t="inlineStr">
        <is>
          <t>Razón al esperado</t>
        </is>
      </c>
      <c r="O49" s="13">
        <f>IFERROR(INDEX(Catalogo!$C$5:$C$129,MATCH(A49,Catalogo!$A$5:$A$129,0)),"")</f>
        <v/>
      </c>
    </row>
    <row r="50">
      <c r="A50" s="13" t="inlineStr">
        <is>
          <t>PE02-I4</t>
        </is>
      </c>
      <c r="B50" s="8" t="n">
        <v>2025</v>
      </c>
      <c r="C50" s="8" t="n">
        <v>20</v>
      </c>
      <c r="D50" s="8" t="inlineStr">
        <is>
          <t>Mayor es mejor</t>
        </is>
      </c>
      <c r="E50" s="8" t="inlineStr">
        <is>
          <t>%</t>
        </is>
      </c>
      <c r="F50" s="8" t="inlineStr">
        <is>
          <t>PE FM AE.01.04: 20 % en 2025 [A11] p. 16 y 28</t>
        </is>
      </c>
      <c r="G50" s="8" t="inlineStr">
        <is>
          <t>Con fuente</t>
        </is>
      </c>
      <c r="H50" s="8" t="n"/>
      <c r="I50" s="8" t="n"/>
      <c r="J50" s="8" t="inlineStr">
        <is>
          <t>cumplimiento</t>
        </is>
      </c>
      <c r="K50" s="8" t="n"/>
      <c r="L50" s="8" t="inlineStr">
        <is>
          <t>Contradicción 1: el estado informado por la OCAA [A10] y el MAGPROF [A8] no coinciden con el PE FM.</t>
        </is>
      </c>
      <c r="M50" s="8" t="inlineStr">
        <is>
          <t>Puntual</t>
        </is>
      </c>
      <c r="N50" s="8" t="inlineStr">
        <is>
          <t>Razón al esperado</t>
        </is>
      </c>
      <c r="O50" s="13">
        <f>IFERROR(INDEX(Catalogo!$C$5:$C$129,MATCH(A50,Catalogo!$A$5:$A$129,0)),"")</f>
        <v/>
      </c>
    </row>
    <row r="51">
      <c r="A51" s="13" t="inlineStr">
        <is>
          <t>PE02-I4</t>
        </is>
      </c>
      <c r="B51" s="8" t="n">
        <v>2026</v>
      </c>
      <c r="C51" s="8" t="n">
        <v>40</v>
      </c>
      <c r="D51" s="8" t="inlineStr">
        <is>
          <t>Mayor es mejor</t>
        </is>
      </c>
      <c r="E51" s="8" t="inlineStr">
        <is>
          <t>%</t>
        </is>
      </c>
      <c r="F51" s="8" t="inlineStr">
        <is>
          <t>PE FM AE.01.04: 40 % en 2026 [A11] p. 28; MAGPROF: 40 % en 2026 [A8] p. 38</t>
        </is>
      </c>
      <c r="G51" s="8" t="inlineStr">
        <is>
          <t>Con fuente</t>
        </is>
      </c>
      <c r="H51" s="8" t="n"/>
      <c r="I51" s="8" t="n"/>
      <c r="J51" s="8" t="inlineStr">
        <is>
          <t>cumplimiento</t>
        </is>
      </c>
      <c r="K51" s="8" t="n"/>
      <c r="L51" s="8" t="inlineStr">
        <is>
          <t>Contradicción 1: el estado informado por la OCAA [A10] y el MAGPROF [A8] no coinciden con el PE FM.</t>
        </is>
      </c>
      <c r="M51" s="8" t="inlineStr">
        <is>
          <t>Puntual</t>
        </is>
      </c>
      <c r="N51" s="8" t="inlineStr">
        <is>
          <t>Razón al esperado</t>
        </is>
      </c>
      <c r="O51" s="13">
        <f>IFERROR(INDEX(Catalogo!$C$5:$C$129,MATCH(A51,Catalogo!$A$5:$A$129,0)),"")</f>
        <v/>
      </c>
    </row>
    <row r="52">
      <c r="A52" s="13" t="inlineStr">
        <is>
          <t>PE02-I4</t>
        </is>
      </c>
      <c r="B52" s="8" t="n">
        <v>2027</v>
      </c>
      <c r="C52" s="8" t="n">
        <v>40</v>
      </c>
      <c r="D52" s="8" t="inlineStr">
        <is>
          <t>Mayor es mejor</t>
        </is>
      </c>
      <c r="E52" s="8" t="inlineStr">
        <is>
          <t>%</t>
        </is>
      </c>
      <c r="F52" s="8" t="inlineStr">
        <is>
          <t>PE FM AE.01.04: 40 % en 2027 [A11] p. 28</t>
        </is>
      </c>
      <c r="G52" s="8" t="inlineStr">
        <is>
          <t>Con fuente</t>
        </is>
      </c>
      <c r="H52" s="8" t="n"/>
      <c r="I52" s="8" t="n"/>
      <c r="J52" s="8" t="inlineStr">
        <is>
          <t>cumplimiento</t>
        </is>
      </c>
      <c r="K52" s="8" t="n"/>
      <c r="L52" s="8" t="inlineStr">
        <is>
          <t>Contradicción 1: el estado informado por la OCAA [A10] y el MAGPROF [A8] no coinciden con el PE FM.</t>
        </is>
      </c>
      <c r="M52" s="8" t="inlineStr">
        <is>
          <t>Puntual</t>
        </is>
      </c>
      <c r="N52" s="8" t="inlineStr">
        <is>
          <t>Razón al esperado</t>
        </is>
      </c>
      <c r="O52" s="13">
        <f>IFERROR(INDEX(Catalogo!$C$5:$C$129,MATCH(A52,Catalogo!$A$5:$A$129,0)),"")</f>
        <v/>
      </c>
    </row>
    <row r="53">
      <c r="A53" s="13" t="inlineStr">
        <is>
          <t>PE01-I1</t>
        </is>
      </c>
      <c r="B53" s="8" t="n"/>
      <c r="C53" s="8" t="n"/>
      <c r="D53" s="8" t="inlineStr">
        <is>
          <t>Por definir</t>
        </is>
      </c>
      <c r="E53" s="8" t="inlineStr">
        <is>
          <t>%</t>
        </is>
      </c>
      <c r="F53" s="8" t="n"/>
      <c r="G53" s="8" t="inlineStr">
        <is>
          <t>Por definir</t>
        </is>
      </c>
      <c r="H53" s="8" t="n"/>
      <c r="I53" s="8" t="n"/>
      <c r="J53" s="8" t="n"/>
      <c r="K53" s="8" t="n"/>
      <c r="L53" s="8" t="n"/>
      <c r="M53" s="8" t="inlineStr">
        <is>
          <t>Puntual</t>
        </is>
      </c>
      <c r="N53" s="8" t="inlineStr">
        <is>
          <t>Razón al esperado</t>
        </is>
      </c>
      <c r="O53" s="13">
        <f>IFERROR(INDEX(Catalogo!$C$5:$C$129,MATCH(A53,Catalogo!$A$5:$A$129,0)),"")</f>
        <v/>
      </c>
    </row>
    <row r="54">
      <c r="A54" s="13" t="inlineStr">
        <is>
          <t>PE01-I2</t>
        </is>
      </c>
      <c r="B54" s="8" t="n"/>
      <c r="C54" s="8" t="n"/>
      <c r="D54" s="8" t="inlineStr">
        <is>
          <t>Por definir</t>
        </is>
      </c>
      <c r="E54" s="8" t="inlineStr">
        <is>
          <t>%</t>
        </is>
      </c>
      <c r="F54" s="8" t="n"/>
      <c r="G54" s="8" t="inlineStr">
        <is>
          <t>Por definir</t>
        </is>
      </c>
      <c r="H54" s="8" t="n"/>
      <c r="I54" s="8" t="n"/>
      <c r="J54" s="8" t="n"/>
      <c r="K54" s="8" t="n"/>
      <c r="L54" s="8" t="n"/>
      <c r="M54" s="8" t="inlineStr">
        <is>
          <t>Puntual</t>
        </is>
      </c>
      <c r="N54" s="8" t="inlineStr">
        <is>
          <t>Razón al esperado</t>
        </is>
      </c>
      <c r="O54" s="13">
        <f>IFERROR(INDEX(Catalogo!$C$5:$C$129,MATCH(A54,Catalogo!$A$5:$A$129,0)),"")</f>
        <v/>
      </c>
    </row>
    <row r="55">
      <c r="A55" s="13" t="inlineStr">
        <is>
          <t>PE01-I3</t>
        </is>
      </c>
      <c r="B55" s="8" t="n">
        <v>2024</v>
      </c>
      <c r="C55" s="8" t="n">
        <v>87</v>
      </c>
      <c r="D55" s="8" t="inlineStr">
        <is>
          <t>Mayor es mejor</t>
        </is>
      </c>
      <c r="E55" s="8" t="inlineStr">
        <is>
          <t>%</t>
        </is>
      </c>
      <c r="F55" s="8" t="inlineStr">
        <is>
          <t>MAGPROF: 87 % [A8] p. 35 y 36</t>
        </is>
      </c>
      <c r="G55" s="8" t="inlineStr">
        <is>
          <t>Con fuente</t>
        </is>
      </c>
      <c r="H55" s="8" t="n"/>
      <c r="I55" s="8" t="n"/>
      <c r="J55" s="8" t="inlineStr">
        <is>
          <t>cumplimiento</t>
        </is>
      </c>
      <c r="K55" s="8" t="n"/>
      <c r="L55" s="8" t="inlineStr">
        <is>
          <t>Resultado de los reportes del POI [A14] [A15] [A16]; los reportes truncan el avance a 100 %.</t>
        </is>
      </c>
      <c r="M55" s="8" t="inlineStr">
        <is>
          <t>Puntual</t>
        </is>
      </c>
      <c r="N55" s="8" t="inlineStr">
        <is>
          <t>Razón al esperado</t>
        </is>
      </c>
      <c r="O55" s="13">
        <f>IFERROR(INDEX(Catalogo!$C$5:$C$129,MATCH(A55,Catalogo!$A$5:$A$129,0)),"")</f>
        <v/>
      </c>
    </row>
    <row r="56">
      <c r="A56" s="13" t="inlineStr">
        <is>
          <t>PE01-I3</t>
        </is>
      </c>
      <c r="B56" s="8" t="n">
        <v>2025</v>
      </c>
      <c r="C56" s="8" t="n">
        <v>88</v>
      </c>
      <c r="D56" s="8" t="inlineStr">
        <is>
          <t>Mayor es mejor</t>
        </is>
      </c>
      <c r="E56" s="8" t="inlineStr">
        <is>
          <t>%</t>
        </is>
      </c>
      <c r="F56" s="8" t="inlineStr">
        <is>
          <t>MAGPROF: 88 % [A8] p. 35 y 36</t>
        </is>
      </c>
      <c r="G56" s="8" t="inlineStr">
        <is>
          <t>Con fuente</t>
        </is>
      </c>
      <c r="H56" s="8" t="n"/>
      <c r="I56" s="8" t="n"/>
      <c r="J56" s="8" t="inlineStr">
        <is>
          <t>cumplimiento</t>
        </is>
      </c>
      <c r="K56" s="8" t="n"/>
      <c r="L56" s="8" t="inlineStr">
        <is>
          <t>Resultado de los reportes del POI [A14] [A15] [A16]; los reportes truncan el avance a 100 %.</t>
        </is>
      </c>
      <c r="M56" s="8" t="inlineStr">
        <is>
          <t>Puntual</t>
        </is>
      </c>
      <c r="N56" s="8" t="inlineStr">
        <is>
          <t>Razón al esperado</t>
        </is>
      </c>
      <c r="O56" s="13">
        <f>IFERROR(INDEX(Catalogo!$C$5:$C$129,MATCH(A56,Catalogo!$A$5:$A$129,0)),"")</f>
        <v/>
      </c>
    </row>
    <row r="57">
      <c r="A57" s="13" t="inlineStr">
        <is>
          <t>PE01-I3</t>
        </is>
      </c>
      <c r="B57" s="8" t="n">
        <v>2026</v>
      </c>
      <c r="C57" s="8" t="n">
        <v>89</v>
      </c>
      <c r="D57" s="8" t="inlineStr">
        <is>
          <t>Mayor es mejor</t>
        </is>
      </c>
      <c r="E57" s="8" t="inlineStr">
        <is>
          <t>%</t>
        </is>
      </c>
      <c r="F57" s="8" t="inlineStr">
        <is>
          <t>MAGPROF: 89 % [A8] p. 35 y 36</t>
        </is>
      </c>
      <c r="G57" s="8" t="inlineStr">
        <is>
          <t>Con fuente</t>
        </is>
      </c>
      <c r="H57" s="8" t="n"/>
      <c r="I57" s="8" t="n"/>
      <c r="J57" s="8" t="inlineStr">
        <is>
          <t>cumplimiento</t>
        </is>
      </c>
      <c r="K57" s="8" t="n"/>
      <c r="L57" s="8" t="inlineStr">
        <is>
          <t>Resultado de los reportes del POI [A14] [A15] [A16]; los reportes truncan el avance a 100 %.</t>
        </is>
      </c>
      <c r="M57" s="8" t="inlineStr">
        <is>
          <t>Puntual</t>
        </is>
      </c>
      <c r="N57" s="8" t="inlineStr">
        <is>
          <t>Razón al esperado</t>
        </is>
      </c>
      <c r="O57" s="13">
        <f>IFERROR(INDEX(Catalogo!$C$5:$C$129,MATCH(A57,Catalogo!$A$5:$A$129,0)),"")</f>
        <v/>
      </c>
    </row>
    <row r="58">
      <c r="A58" s="13" t="inlineStr">
        <is>
          <t>PE03-I1</t>
        </is>
      </c>
      <c r="B58" s="8" t="n"/>
      <c r="C58" s="8" t="n"/>
      <c r="D58" s="8" t="inlineStr">
        <is>
          <t>Por definir</t>
        </is>
      </c>
      <c r="E58" s="8" t="inlineStr">
        <is>
          <t>%</t>
        </is>
      </c>
      <c r="F58" s="8" t="n"/>
      <c r="G58" s="8" t="inlineStr">
        <is>
          <t>Por definir</t>
        </is>
      </c>
      <c r="H58" s="8" t="n"/>
      <c r="I58" s="8" t="n"/>
      <c r="J58" s="8" t="n"/>
      <c r="K58" s="8" t="n"/>
      <c r="L58" s="8" t="n"/>
      <c r="M58" s="8" t="inlineStr">
        <is>
          <t>Puntual</t>
        </is>
      </c>
      <c r="N58" s="8" t="inlineStr">
        <is>
          <t>Razón al esperado</t>
        </is>
      </c>
      <c r="O58" s="13">
        <f>IFERROR(INDEX(Catalogo!$C$5:$C$129,MATCH(A58,Catalogo!$A$5:$A$129,0)),"")</f>
        <v/>
      </c>
    </row>
    <row r="59">
      <c r="A59" s="13" t="inlineStr">
        <is>
          <t>PE03-I2</t>
        </is>
      </c>
      <c r="B59" s="8" t="n"/>
      <c r="C59" s="8" t="n"/>
      <c r="D59" s="8" t="inlineStr">
        <is>
          <t>Por definir</t>
        </is>
      </c>
      <c r="E59" s="8" t="inlineStr">
        <is>
          <t>%</t>
        </is>
      </c>
      <c r="F59" s="8" t="n"/>
      <c r="G59" s="8" t="inlineStr">
        <is>
          <t>Por definir</t>
        </is>
      </c>
      <c r="H59" s="8" t="n"/>
      <c r="I59" s="8" t="n"/>
      <c r="J59" s="8" t="n"/>
      <c r="K59" s="8" t="n"/>
      <c r="L59" s="8" t="n"/>
      <c r="M59" s="8" t="inlineStr">
        <is>
          <t>Puntual</t>
        </is>
      </c>
      <c r="N59" s="8" t="inlineStr">
        <is>
          <t>Razón al esperado</t>
        </is>
      </c>
      <c r="O59" s="13">
        <f>IFERROR(INDEX(Catalogo!$C$5:$C$129,MATCH(A59,Catalogo!$A$5:$A$129,0)),"")</f>
        <v/>
      </c>
    </row>
    <row r="60">
      <c r="A60" s="13" t="inlineStr">
        <is>
          <t>PE03-I3</t>
        </is>
      </c>
      <c r="B60" s="8" t="n"/>
      <c r="C60" s="8" t="n"/>
      <c r="D60" s="8" t="inlineStr">
        <is>
          <t>Por definir</t>
        </is>
      </c>
      <c r="E60" s="8" t="inlineStr">
        <is>
          <t>%</t>
        </is>
      </c>
      <c r="F60" s="8" t="n"/>
      <c r="G60" s="8" t="inlineStr">
        <is>
          <t>Por definir</t>
        </is>
      </c>
      <c r="H60" s="8" t="n"/>
      <c r="I60" s="8" t="n"/>
      <c r="J60" s="8" t="n"/>
      <c r="K60" s="8" t="n"/>
      <c r="L60" s="8" t="n"/>
      <c r="M60" s="8" t="inlineStr">
        <is>
          <t>Puntual</t>
        </is>
      </c>
      <c r="N60" s="8" t="inlineStr">
        <is>
          <t>Razón al esperado</t>
        </is>
      </c>
      <c r="O60" s="13">
        <f>IFERROR(INDEX(Catalogo!$C$5:$C$129,MATCH(A60,Catalogo!$A$5:$A$129,0)),"")</f>
        <v/>
      </c>
    </row>
    <row r="61">
      <c r="A61" s="13" t="inlineStr">
        <is>
          <t>PE04-I1</t>
        </is>
      </c>
      <c r="B61" s="8" t="n"/>
      <c r="C61" s="8" t="n"/>
      <c r="D61" s="8" t="inlineStr">
        <is>
          <t>Por definir</t>
        </is>
      </c>
      <c r="E61" s="8" t="inlineStr">
        <is>
          <t>%</t>
        </is>
      </c>
      <c r="F61" s="8" t="n"/>
      <c r="G61" s="8" t="inlineStr">
        <is>
          <t>Por definir</t>
        </is>
      </c>
      <c r="H61" s="8" t="n"/>
      <c r="I61" s="8" t="n"/>
      <c r="J61" s="8" t="n"/>
      <c r="K61" s="8" t="n"/>
      <c r="L61" s="8" t="n"/>
      <c r="M61" s="8" t="inlineStr">
        <is>
          <t>Puntual</t>
        </is>
      </c>
      <c r="N61" s="8" t="inlineStr">
        <is>
          <t>Razón al esperado</t>
        </is>
      </c>
      <c r="O61" s="13">
        <f>IFERROR(INDEX(Catalogo!$C$5:$C$129,MATCH(A61,Catalogo!$A$5:$A$129,0)),"")</f>
        <v/>
      </c>
    </row>
    <row r="62">
      <c r="A62" s="13" t="inlineStr">
        <is>
          <t>PE04-I2</t>
        </is>
      </c>
      <c r="B62" s="8" t="n"/>
      <c r="C62" s="8" t="n"/>
      <c r="D62" s="8" t="inlineStr">
        <is>
          <t>Por definir</t>
        </is>
      </c>
      <c r="E62" s="8" t="inlineStr">
        <is>
          <t>%</t>
        </is>
      </c>
      <c r="F62" s="8" t="n"/>
      <c r="G62" s="8" t="inlineStr">
        <is>
          <t>Por definir</t>
        </is>
      </c>
      <c r="H62" s="8" t="n"/>
      <c r="I62" s="8" t="n"/>
      <c r="J62" s="8" t="n"/>
      <c r="K62" s="8" t="n"/>
      <c r="L62" s="8" t="n"/>
      <c r="M62" s="8" t="inlineStr">
        <is>
          <t>Puntual</t>
        </is>
      </c>
      <c r="N62" s="8" t="inlineStr">
        <is>
          <t>Razón al esperado</t>
        </is>
      </c>
      <c r="O62" s="13">
        <f>IFERROR(INDEX(Catalogo!$C$5:$C$129,MATCH(A62,Catalogo!$A$5:$A$129,0)),"")</f>
        <v/>
      </c>
    </row>
    <row r="63">
      <c r="A63" s="13" t="inlineStr">
        <is>
          <t>PE04-I3</t>
        </is>
      </c>
      <c r="B63" s="8" t="n"/>
      <c r="C63" s="8" t="n"/>
      <c r="D63" s="8" t="inlineStr">
        <is>
          <t>Por definir</t>
        </is>
      </c>
      <c r="E63" s="8" t="inlineStr">
        <is>
          <t>por definir</t>
        </is>
      </c>
      <c r="F63" s="8" t="n"/>
      <c r="G63" s="8" t="inlineStr">
        <is>
          <t>En conflicto</t>
        </is>
      </c>
      <c r="H63" s="8" t="n"/>
      <c r="I63" s="8" t="n"/>
      <c r="J63" s="8" t="n"/>
      <c r="K63" s="8" t="n"/>
      <c r="L63" s="8" t="inlineStr">
        <is>
          <t>Las fuentes miden cosas distintas: MAGPROF 61 % en 2026 [A8] p. 41; PE FM, tasas por 100 docentes y por 1000 estudiantes [A11] p. 17. Por confirmar.</t>
        </is>
      </c>
      <c r="M63" s="8" t="inlineStr">
        <is>
          <t>Puntual</t>
        </is>
      </c>
      <c r="N63" s="8" t="inlineStr">
        <is>
          <t>Razón al esperado</t>
        </is>
      </c>
      <c r="O63" s="13">
        <f>IFERROR(INDEX(Catalogo!$C$5:$C$129,MATCH(A63,Catalogo!$A$5:$A$129,0)),"")</f>
        <v/>
      </c>
    </row>
    <row r="64">
      <c r="A64" s="13" t="inlineStr">
        <is>
          <t>PM01-I3</t>
        </is>
      </c>
      <c r="B64" s="8" t="n">
        <v>2024</v>
      </c>
      <c r="C64" s="8" t="n">
        <v>100</v>
      </c>
      <c r="D64" s="8" t="inlineStr">
        <is>
          <t>Mayor es mejor</t>
        </is>
      </c>
      <c r="E64" s="8" t="inlineStr">
        <is>
          <t>%</t>
        </is>
      </c>
      <c r="F64" s="8" t="inlineStr">
        <is>
          <t>PE FM: 100 % de 2024 a 2027 [A11] p. 15 y 25</t>
        </is>
      </c>
      <c r="G64" s="8" t="inlineStr">
        <is>
          <t>Con fuente</t>
        </is>
      </c>
      <c r="H64" s="8" t="n"/>
      <c r="I64" s="8" t="n"/>
      <c r="J64" s="8" t="inlineStr">
        <is>
          <t>cumplimiento</t>
        </is>
      </c>
      <c r="K64" s="8" t="n"/>
      <c r="L64" s="8" t="inlineStr">
        <is>
          <t>El PEI UNMSM fija 82,35 % en 2026 para el pregrado de toda la universidad [A12] p. 90: referencia distinta, no se usa.</t>
        </is>
      </c>
      <c r="M64" s="8" t="inlineStr">
        <is>
          <t>Puntual</t>
        </is>
      </c>
      <c r="N64" s="8" t="inlineStr">
        <is>
          <t>Razón al esperado</t>
        </is>
      </c>
      <c r="O64" s="13">
        <f>IFERROR(INDEX(Catalogo!$C$5:$C$129,MATCH(A64,Catalogo!$A$5:$A$129,0)),"")</f>
        <v/>
      </c>
    </row>
    <row r="65">
      <c r="A65" s="13" t="inlineStr">
        <is>
          <t>PM02-I2</t>
        </is>
      </c>
      <c r="B65" s="8" t="n"/>
      <c r="C65" s="8" t="n"/>
      <c r="D65" s="8" t="inlineStr">
        <is>
          <t>Por definir</t>
        </is>
      </c>
      <c r="E65" s="8" t="inlineStr">
        <is>
          <t>%</t>
        </is>
      </c>
      <c r="F65" s="8" t="n"/>
      <c r="G65" s="8" t="inlineStr">
        <is>
          <t>Por definir</t>
        </is>
      </c>
      <c r="H65" s="8" t="n"/>
      <c r="I65" s="8" t="n"/>
      <c r="J65" s="8" t="n"/>
      <c r="K65" s="8" t="n"/>
      <c r="L65" s="8" t="n"/>
      <c r="M65" s="8" t="inlineStr">
        <is>
          <t>Puntual</t>
        </is>
      </c>
      <c r="N65" s="8" t="inlineStr">
        <is>
          <t>Razón al esperado</t>
        </is>
      </c>
      <c r="O65" s="13">
        <f>IFERROR(INDEX(Catalogo!$C$5:$C$129,MATCH(A65,Catalogo!$A$5:$A$129,0)),"")</f>
        <v/>
      </c>
    </row>
    <row r="66">
      <c r="A66" s="13" t="inlineStr">
        <is>
          <t>PM02-I3</t>
        </is>
      </c>
      <c r="B66" s="8" t="n">
        <v>2026</v>
      </c>
      <c r="C66" s="8" t="n">
        <v>69.3</v>
      </c>
      <c r="D66" s="8" t="inlineStr">
        <is>
          <t>Mayor es mejor</t>
        </is>
      </c>
      <c r="E66" s="8" t="inlineStr">
        <is>
          <t>%</t>
        </is>
      </c>
      <c r="F66" s="8" t="inlineStr">
        <is>
          <t>MAGPROF: 69,3 % en 2026 [A8] p. 53 y 54</t>
        </is>
      </c>
      <c r="G66" s="8" t="inlineStr">
        <is>
          <t>Con fuente</t>
        </is>
      </c>
      <c r="H66" s="8" t="n"/>
      <c r="I66" s="8" t="n"/>
      <c r="J66" s="8" t="inlineStr">
        <is>
          <t>cumplimiento</t>
        </is>
      </c>
      <c r="K66" s="8" t="n"/>
      <c r="L66" s="8" t="inlineStr">
        <is>
          <t>Medición por escuela por documentar.</t>
        </is>
      </c>
      <c r="M66" s="8" t="inlineStr">
        <is>
          <t>Puntual</t>
        </is>
      </c>
      <c r="N66" s="8" t="inlineStr">
        <is>
          <t>Razón al esperado</t>
        </is>
      </c>
      <c r="O66" s="13">
        <f>IFERROR(INDEX(Catalogo!$C$5:$C$129,MATCH(A66,Catalogo!$A$5:$A$129,0)),"")</f>
        <v/>
      </c>
    </row>
    <row r="67">
      <c r="A67" s="13" t="inlineStr">
        <is>
          <t>PM03-I4</t>
        </is>
      </c>
      <c r="B67" s="8" t="n">
        <v>2024</v>
      </c>
      <c r="C67" s="8" t="n">
        <v>75.06</v>
      </c>
      <c r="D67" s="8" t="inlineStr">
        <is>
          <t>Mayor es mejor</t>
        </is>
      </c>
      <c r="E67" s="8" t="inlineStr">
        <is>
          <t>%</t>
        </is>
      </c>
      <c r="F67" s="8" t="inlineStr">
        <is>
          <t>PE FM OE.01: 75,06 % en 2024 [A11] p. 15</t>
        </is>
      </c>
      <c r="G67" s="8" t="inlineStr">
        <is>
          <t>Con fuente</t>
        </is>
      </c>
      <c r="H67" s="8" t="n"/>
      <c r="I67" s="8" t="n"/>
      <c r="J67" s="8" t="inlineStr">
        <is>
          <t>cumplimiento</t>
        </is>
      </c>
      <c r="K67" s="8" t="n"/>
      <c r="L67" s="8" t="inlineStr">
        <is>
          <t>El MAGPROF fija 81 % en 2026 [A8] p. 44.</t>
        </is>
      </c>
      <c r="M67" s="8" t="inlineStr">
        <is>
          <t>Puntual</t>
        </is>
      </c>
      <c r="N67" s="8" t="inlineStr">
        <is>
          <t>Razón al esperado</t>
        </is>
      </c>
      <c r="O67" s="13">
        <f>IFERROR(INDEX(Catalogo!$C$5:$C$129,MATCH(A67,Catalogo!$A$5:$A$129,0)),"")</f>
        <v/>
      </c>
    </row>
    <row r="68">
      <c r="A68" s="13" t="inlineStr">
        <is>
          <t>PM03-I4</t>
        </is>
      </c>
      <c r="B68" s="8" t="n">
        <v>2025</v>
      </c>
      <c r="C68" s="8" t="n">
        <v>78.03</v>
      </c>
      <c r="D68" s="8" t="inlineStr">
        <is>
          <t>Mayor es mejor</t>
        </is>
      </c>
      <c r="E68" s="8" t="inlineStr">
        <is>
          <t>%</t>
        </is>
      </c>
      <c r="F68" s="8" t="inlineStr">
        <is>
          <t>PE FM OE.01: 78,03 % en 2025 [A11] p. 15</t>
        </is>
      </c>
      <c r="G68" s="8" t="inlineStr">
        <is>
          <t>Con fuente</t>
        </is>
      </c>
      <c r="H68" s="8" t="n"/>
      <c r="I68" s="8" t="n"/>
      <c r="J68" s="8" t="inlineStr">
        <is>
          <t>cumplimiento</t>
        </is>
      </c>
      <c r="K68" s="8" t="n"/>
      <c r="L68" s="8" t="inlineStr">
        <is>
          <t>El MAGPROF fija 81 % en 2026 [A8] p. 44.</t>
        </is>
      </c>
      <c r="M68" s="8" t="inlineStr">
        <is>
          <t>Puntual</t>
        </is>
      </c>
      <c r="N68" s="8" t="inlineStr">
        <is>
          <t>Razón al esperado</t>
        </is>
      </c>
      <c r="O68" s="13">
        <f>IFERROR(INDEX(Catalogo!$C$5:$C$129,MATCH(A68,Catalogo!$A$5:$A$129,0)),"")</f>
        <v/>
      </c>
    </row>
    <row r="69">
      <c r="A69" s="13" t="inlineStr">
        <is>
          <t>PM03-I4</t>
        </is>
      </c>
      <c r="B69" s="8" t="n">
        <v>2026</v>
      </c>
      <c r="C69" s="8" t="n">
        <v>81.37</v>
      </c>
      <c r="D69" s="8" t="inlineStr">
        <is>
          <t>Mayor es mejor</t>
        </is>
      </c>
      <c r="E69" s="8" t="inlineStr">
        <is>
          <t>%</t>
        </is>
      </c>
      <c r="F69" s="8" t="inlineStr">
        <is>
          <t>PE FM OE.01: 81,37 % en 2026 [A11] p. 15</t>
        </is>
      </c>
      <c r="G69" s="8" t="inlineStr">
        <is>
          <t>Con fuente</t>
        </is>
      </c>
      <c r="H69" s="8" t="n"/>
      <c r="I69" s="8" t="n"/>
      <c r="J69" s="8" t="inlineStr">
        <is>
          <t>cumplimiento</t>
        </is>
      </c>
      <c r="K69" s="8" t="n"/>
      <c r="L69" s="8" t="inlineStr">
        <is>
          <t>El MAGPROF fija 81 % en 2026 [A8] p. 44.</t>
        </is>
      </c>
      <c r="M69" s="8" t="inlineStr">
        <is>
          <t>Puntual</t>
        </is>
      </c>
      <c r="N69" s="8" t="inlineStr">
        <is>
          <t>Razón al esperado</t>
        </is>
      </c>
      <c r="O69" s="13">
        <f>IFERROR(INDEX(Catalogo!$C$5:$C$129,MATCH(A69,Catalogo!$A$5:$A$129,0)),"")</f>
        <v/>
      </c>
    </row>
    <row r="70">
      <c r="A70" s="13" t="inlineStr">
        <is>
          <t>PM03-I4</t>
        </is>
      </c>
      <c r="B70" s="8" t="n">
        <v>2027</v>
      </c>
      <c r="C70" s="8" t="n">
        <v>83.45999999999999</v>
      </c>
      <c r="D70" s="8" t="inlineStr">
        <is>
          <t>Mayor es mejor</t>
        </is>
      </c>
      <c r="E70" s="8" t="inlineStr">
        <is>
          <t>%</t>
        </is>
      </c>
      <c r="F70" s="8" t="inlineStr">
        <is>
          <t>PE FM OE.01: 83,46 % en 2027 [A11] p. 15</t>
        </is>
      </c>
      <c r="G70" s="8" t="inlineStr">
        <is>
          <t>Con fuente</t>
        </is>
      </c>
      <c r="H70" s="8" t="n"/>
      <c r="I70" s="8" t="n"/>
      <c r="J70" s="8" t="inlineStr">
        <is>
          <t>cumplimiento</t>
        </is>
      </c>
      <c r="K70" s="8" t="n"/>
      <c r="L70" s="8" t="inlineStr">
        <is>
          <t>El MAGPROF fija 81 % en 2026 [A8] p. 44.</t>
        </is>
      </c>
      <c r="M70" s="8" t="inlineStr">
        <is>
          <t>Puntual</t>
        </is>
      </c>
      <c r="N70" s="8" t="inlineStr">
        <is>
          <t>Razón al esperado</t>
        </is>
      </c>
      <c r="O70" s="13">
        <f>IFERROR(INDEX(Catalogo!$C$5:$C$129,MATCH(A70,Catalogo!$A$5:$A$129,0)),"")</f>
        <v/>
      </c>
    </row>
    <row r="71">
      <c r="A71" s="13" t="inlineStr">
        <is>
          <t>PM04-I1</t>
        </is>
      </c>
      <c r="B71" s="8" t="n"/>
      <c r="C71" s="8" t="n"/>
      <c r="D71" s="8" t="inlineStr">
        <is>
          <t>Por definir</t>
        </is>
      </c>
      <c r="E71" s="8" t="inlineStr">
        <is>
          <t>%</t>
        </is>
      </c>
      <c r="F71" s="8" t="n"/>
      <c r="G71" s="8" t="inlineStr">
        <is>
          <t>Por definir</t>
        </is>
      </c>
      <c r="H71" s="8" t="n"/>
      <c r="I71" s="8" t="n"/>
      <c r="J71" s="8" t="n"/>
      <c r="K71" s="8" t="n"/>
      <c r="L71" s="8" t="n"/>
      <c r="M71" s="8" t="inlineStr">
        <is>
          <t>Puntual</t>
        </is>
      </c>
      <c r="N71" s="8" t="inlineStr">
        <is>
          <t>Razón al esperado</t>
        </is>
      </c>
      <c r="O71" s="13">
        <f>IFERROR(INDEX(Catalogo!$C$5:$C$129,MATCH(A71,Catalogo!$A$5:$A$129,0)),"")</f>
        <v/>
      </c>
    </row>
    <row r="72">
      <c r="A72" s="13" t="inlineStr">
        <is>
          <t>PM04-I2</t>
        </is>
      </c>
      <c r="B72" s="8" t="n"/>
      <c r="C72" s="8" t="n"/>
      <c r="D72" s="8" t="inlineStr">
        <is>
          <t>Por definir</t>
        </is>
      </c>
      <c r="E72" s="8" t="inlineStr">
        <is>
          <t>%</t>
        </is>
      </c>
      <c r="F72" s="8" t="n"/>
      <c r="G72" s="8" t="inlineStr">
        <is>
          <t>Por definir</t>
        </is>
      </c>
      <c r="H72" s="8" t="n"/>
      <c r="I72" s="8" t="n"/>
      <c r="J72" s="8" t="n"/>
      <c r="K72" s="8" t="n"/>
      <c r="L72" s="8" t="n"/>
      <c r="M72" s="8" t="inlineStr">
        <is>
          <t>Puntual</t>
        </is>
      </c>
      <c r="N72" s="8" t="inlineStr">
        <is>
          <t>Razón al esperado</t>
        </is>
      </c>
      <c r="O72" s="13">
        <f>IFERROR(INDEX(Catalogo!$C$5:$C$129,MATCH(A72,Catalogo!$A$5:$A$129,0)),"")</f>
        <v/>
      </c>
    </row>
    <row r="73">
      <c r="A73" s="13" t="inlineStr">
        <is>
          <t>PM04-I3</t>
        </is>
      </c>
      <c r="B73" s="8" t="n"/>
      <c r="C73" s="8" t="n"/>
      <c r="D73" s="8" t="inlineStr">
        <is>
          <t>Por definir</t>
        </is>
      </c>
      <c r="E73" s="8" t="inlineStr">
        <is>
          <t>%</t>
        </is>
      </c>
      <c r="F73" s="8" t="n"/>
      <c r="G73" s="8" t="inlineStr">
        <is>
          <t>Por definir</t>
        </is>
      </c>
      <c r="H73" s="8" t="n"/>
      <c r="I73" s="8" t="n"/>
      <c r="J73" s="8" t="n"/>
      <c r="K73" s="8" t="n"/>
      <c r="L73" s="8" t="n"/>
      <c r="M73" s="8" t="inlineStr">
        <is>
          <t>Puntual</t>
        </is>
      </c>
      <c r="N73" s="8" t="inlineStr">
        <is>
          <t>Razón al esperado</t>
        </is>
      </c>
      <c r="O73" s="13">
        <f>IFERROR(INDEX(Catalogo!$C$5:$C$129,MATCH(A73,Catalogo!$A$5:$A$129,0)),"")</f>
        <v/>
      </c>
    </row>
    <row r="74">
      <c r="A74" s="13" t="inlineStr">
        <is>
          <t>PM04-I4</t>
        </is>
      </c>
      <c r="B74" s="8" t="n"/>
      <c r="C74" s="8" t="n"/>
      <c r="D74" s="8" t="inlineStr">
        <is>
          <t>Por definir</t>
        </is>
      </c>
      <c r="E74" s="8" t="inlineStr">
        <is>
          <t>%</t>
        </is>
      </c>
      <c r="F74" s="8" t="n"/>
      <c r="G74" s="8" t="inlineStr">
        <is>
          <t>Por definir</t>
        </is>
      </c>
      <c r="H74" s="8" t="n"/>
      <c r="I74" s="8" t="n"/>
      <c r="J74" s="8" t="n"/>
      <c r="K74" s="8" t="n"/>
      <c r="L74" s="8" t="n"/>
      <c r="M74" s="8" t="inlineStr">
        <is>
          <t>Puntual</t>
        </is>
      </c>
      <c r="N74" s="8" t="inlineStr">
        <is>
          <t>Razón al esperado</t>
        </is>
      </c>
      <c r="O74" s="13">
        <f>IFERROR(INDEX(Catalogo!$C$5:$C$129,MATCH(A74,Catalogo!$A$5:$A$129,0)),"")</f>
        <v/>
      </c>
    </row>
    <row r="75">
      <c r="A75" s="13" t="inlineStr">
        <is>
          <t>PM05-I3</t>
        </is>
      </c>
      <c r="B75" s="8" t="n"/>
      <c r="C75" s="8" t="n"/>
      <c r="D75" s="8" t="inlineStr">
        <is>
          <t>Por definir</t>
        </is>
      </c>
      <c r="E75" s="8" t="inlineStr">
        <is>
          <t>%</t>
        </is>
      </c>
      <c r="F75" s="8" t="n"/>
      <c r="G75" s="8" t="inlineStr">
        <is>
          <t>Por definir</t>
        </is>
      </c>
      <c r="H75" s="8" t="n"/>
      <c r="I75" s="8" t="n"/>
      <c r="J75" s="8" t="n"/>
      <c r="K75" s="8" t="n"/>
      <c r="L75" s="8" t="n"/>
      <c r="M75" s="8" t="inlineStr">
        <is>
          <t>Puntual</t>
        </is>
      </c>
      <c r="N75" s="8" t="inlineStr">
        <is>
          <t>Razón al esperado</t>
        </is>
      </c>
      <c r="O75" s="13">
        <f>IFERROR(INDEX(Catalogo!$C$5:$C$129,MATCH(A75,Catalogo!$A$5:$A$129,0)),"")</f>
        <v/>
      </c>
    </row>
    <row r="76">
      <c r="A76" s="13" t="inlineStr">
        <is>
          <t>PM05-I4</t>
        </is>
      </c>
      <c r="B76" s="8" t="n"/>
      <c r="C76" s="8" t="n"/>
      <c r="D76" s="8" t="inlineStr">
        <is>
          <t>Por definir</t>
        </is>
      </c>
      <c r="E76" s="8" t="inlineStr">
        <is>
          <t>%</t>
        </is>
      </c>
      <c r="F76" s="8" t="n"/>
      <c r="G76" s="8" t="inlineStr">
        <is>
          <t>Por definir</t>
        </is>
      </c>
      <c r="H76" s="8" t="n"/>
      <c r="I76" s="8" t="n"/>
      <c r="J76" s="8" t="n"/>
      <c r="K76" s="8" t="n"/>
      <c r="L76" s="8" t="n"/>
      <c r="M76" s="8" t="inlineStr">
        <is>
          <t>Puntual</t>
        </is>
      </c>
      <c r="N76" s="8" t="inlineStr">
        <is>
          <t>Razón al esperado</t>
        </is>
      </c>
      <c r="O76" s="13">
        <f>IFERROR(INDEX(Catalogo!$C$5:$C$129,MATCH(A76,Catalogo!$A$5:$A$129,0)),"")</f>
        <v/>
      </c>
    </row>
    <row r="77">
      <c r="A77" s="13" t="inlineStr">
        <is>
          <t>PM06-I1</t>
        </is>
      </c>
      <c r="B77" s="8" t="n"/>
      <c r="C77" s="8" t="n"/>
      <c r="D77" s="8" t="inlineStr">
        <is>
          <t>Por definir</t>
        </is>
      </c>
      <c r="E77" s="8" t="inlineStr">
        <is>
          <t>%</t>
        </is>
      </c>
      <c r="F77" s="8" t="n"/>
      <c r="G77" s="8" t="inlineStr">
        <is>
          <t>Por definir</t>
        </is>
      </c>
      <c r="H77" s="8" t="n"/>
      <c r="I77" s="8" t="n"/>
      <c r="J77" s="8" t="n"/>
      <c r="K77" s="8" t="n"/>
      <c r="L77" s="8" t="n"/>
      <c r="M77" s="8" t="inlineStr">
        <is>
          <t>Puntual</t>
        </is>
      </c>
      <c r="N77" s="8" t="inlineStr">
        <is>
          <t>Razón al esperado</t>
        </is>
      </c>
      <c r="O77" s="13">
        <f>IFERROR(INDEX(Catalogo!$C$5:$C$129,MATCH(A77,Catalogo!$A$5:$A$129,0)),"")</f>
        <v/>
      </c>
    </row>
    <row r="78">
      <c r="A78" s="13" t="inlineStr">
        <is>
          <t>PM06-I2</t>
        </is>
      </c>
      <c r="B78" s="8" t="n"/>
      <c r="C78" s="8" t="n"/>
      <c r="D78" s="8" t="inlineStr">
        <is>
          <t>Por definir</t>
        </is>
      </c>
      <c r="E78" s="8" t="inlineStr">
        <is>
          <t>por definir</t>
        </is>
      </c>
      <c r="F78" s="8" t="n"/>
      <c r="G78" s="8" t="inlineStr">
        <is>
          <t>Por definir</t>
        </is>
      </c>
      <c r="H78" s="8" t="n"/>
      <c r="I78" s="8" t="n"/>
      <c r="J78" s="8" t="n"/>
      <c r="K78" s="8" t="n"/>
      <c r="L78" s="8" t="n"/>
      <c r="M78" s="8" t="inlineStr">
        <is>
          <t>Puntual</t>
        </is>
      </c>
      <c r="N78" s="8" t="inlineStr">
        <is>
          <t>Razón al esperado</t>
        </is>
      </c>
      <c r="O78" s="13">
        <f>IFERROR(INDEX(Catalogo!$C$5:$C$129,MATCH(A78,Catalogo!$A$5:$A$129,0)),"")</f>
        <v/>
      </c>
    </row>
    <row r="79">
      <c r="A79" s="13" t="inlineStr">
        <is>
          <t>PM06-I3</t>
        </is>
      </c>
      <c r="B79" s="8" t="n"/>
      <c r="C79" s="8" t="n"/>
      <c r="D79" s="8" t="inlineStr">
        <is>
          <t>Por definir</t>
        </is>
      </c>
      <c r="E79" s="8" t="inlineStr">
        <is>
          <t>por definir</t>
        </is>
      </c>
      <c r="F79" s="8" t="n"/>
      <c r="G79" s="8" t="inlineStr">
        <is>
          <t>En conflicto</t>
        </is>
      </c>
      <c r="H79" s="8" t="n"/>
      <c r="I79" s="8" t="n"/>
      <c r="J79" s="8" t="n"/>
      <c r="K79" s="8" t="n"/>
      <c r="L79" s="8" t="inlineStr">
        <is>
          <t>MAGPROF fija 49 en 2026 [A8] p. 47 y el PE FM 300 publicaciones [A11] p. 18 (contradicción 3 y 14). Por confirmar.</t>
        </is>
      </c>
      <c r="M79" s="8" t="inlineStr">
        <is>
          <t>Puntual</t>
        </is>
      </c>
      <c r="N79" s="8" t="inlineStr">
        <is>
          <t>Razón al esperado</t>
        </is>
      </c>
      <c r="O79" s="13">
        <f>IFERROR(INDEX(Catalogo!$C$5:$C$129,MATCH(A79,Catalogo!$A$5:$A$129,0)),"")</f>
        <v/>
      </c>
    </row>
    <row r="80">
      <c r="A80" s="13" t="inlineStr">
        <is>
          <t>PM07-I1</t>
        </is>
      </c>
      <c r="B80" s="8" t="n"/>
      <c r="C80" s="8" t="n"/>
      <c r="D80" s="8" t="inlineStr">
        <is>
          <t>Por definir</t>
        </is>
      </c>
      <c r="E80" s="8" t="inlineStr">
        <is>
          <t>%</t>
        </is>
      </c>
      <c r="F80" s="8" t="n"/>
      <c r="G80" s="8" t="inlineStr">
        <is>
          <t>Por definir</t>
        </is>
      </c>
      <c r="H80" s="8" t="n"/>
      <c r="I80" s="8" t="n"/>
      <c r="J80" s="8" t="n"/>
      <c r="K80" s="8" t="n"/>
      <c r="L80" s="8" t="n"/>
      <c r="M80" s="8" t="inlineStr">
        <is>
          <t>Puntual</t>
        </is>
      </c>
      <c r="N80" s="8" t="inlineStr">
        <is>
          <t>Razón al esperado</t>
        </is>
      </c>
      <c r="O80" s="13">
        <f>IFERROR(INDEX(Catalogo!$C$5:$C$129,MATCH(A80,Catalogo!$A$5:$A$129,0)),"")</f>
        <v/>
      </c>
    </row>
    <row r="81">
      <c r="A81" s="13" t="inlineStr">
        <is>
          <t>PM07-I2</t>
        </is>
      </c>
      <c r="B81" s="8" t="n"/>
      <c r="C81" s="8" t="n"/>
      <c r="D81" s="8" t="inlineStr">
        <is>
          <t>Por definir</t>
        </is>
      </c>
      <c r="E81" s="8" t="inlineStr">
        <is>
          <t>%</t>
        </is>
      </c>
      <c r="F81" s="8" t="n"/>
      <c r="G81" s="8" t="inlineStr">
        <is>
          <t>Por definir</t>
        </is>
      </c>
      <c r="H81" s="8" t="n"/>
      <c r="I81" s="8" t="n"/>
      <c r="J81" s="8" t="n"/>
      <c r="K81" s="8" t="n"/>
      <c r="L81" s="8" t="n"/>
      <c r="M81" s="8" t="inlineStr">
        <is>
          <t>Puntual</t>
        </is>
      </c>
      <c r="N81" s="8" t="inlineStr">
        <is>
          <t>Razón al esperado</t>
        </is>
      </c>
      <c r="O81" s="13">
        <f>IFERROR(INDEX(Catalogo!$C$5:$C$129,MATCH(A81,Catalogo!$A$5:$A$129,0)),"")</f>
        <v/>
      </c>
    </row>
    <row r="82">
      <c r="A82" s="13" t="inlineStr">
        <is>
          <t>PM07-I3</t>
        </is>
      </c>
      <c r="B82" s="8" t="n"/>
      <c r="C82" s="8" t="n"/>
      <c r="D82" s="8" t="inlineStr">
        <is>
          <t>Por definir</t>
        </is>
      </c>
      <c r="E82" s="8" t="inlineStr">
        <is>
          <t>%</t>
        </is>
      </c>
      <c r="F82" s="8" t="n"/>
      <c r="G82" s="8" t="inlineStr">
        <is>
          <t>En conflicto</t>
        </is>
      </c>
      <c r="H82" s="8" t="n"/>
      <c r="I82" s="8" t="n"/>
      <c r="J82" s="8" t="n"/>
      <c r="K82" s="8" t="n"/>
      <c r="L82" s="8" t="inlineStr">
        <is>
          <t>MAGPROF fija 60 % [A8] p. 50 y el PE FM 97 % [A11] p. 21 (contradicción 2). Por confirmar.</t>
        </is>
      </c>
      <c r="M82" s="8" t="inlineStr">
        <is>
          <t>Puntual</t>
        </is>
      </c>
      <c r="N82" s="8" t="inlineStr">
        <is>
          <t>Razón al esperado</t>
        </is>
      </c>
      <c r="O82" s="13">
        <f>IFERROR(INDEX(Catalogo!$C$5:$C$129,MATCH(A82,Catalogo!$A$5:$A$129,0)),"")</f>
        <v/>
      </c>
    </row>
    <row r="83">
      <c r="A83" s="13" t="inlineStr">
        <is>
          <t>ME01-I1</t>
        </is>
      </c>
      <c r="B83" s="8" t="n">
        <v>2024</v>
      </c>
      <c r="C83" s="8" t="n">
        <v>30</v>
      </c>
      <c r="D83" s="8" t="inlineStr">
        <is>
          <t>Mayor es mejor</t>
        </is>
      </c>
      <c r="E83" s="8" t="inlineStr">
        <is>
          <t>%</t>
        </is>
      </c>
      <c r="F83" s="8" t="inlineStr">
        <is>
          <t>PE FM: al menos 30 % de los estudiantes de los dos últimos años [A11] p. 23 y 26</t>
        </is>
      </c>
      <c r="G83" s="8" t="inlineStr">
        <is>
          <t>Con fuente</t>
        </is>
      </c>
      <c r="H83" s="8" t="n"/>
      <c r="I83" s="8" t="n"/>
      <c r="J83" s="8" t="inlineStr">
        <is>
          <t>cumplimiento</t>
        </is>
      </c>
      <c r="K83" s="8" t="n"/>
      <c r="L83" s="8" t="n"/>
      <c r="M83" s="8" t="inlineStr">
        <is>
          <t>Puntual</t>
        </is>
      </c>
      <c r="N83" s="8" t="inlineStr">
        <is>
          <t>Razón al esperado</t>
        </is>
      </c>
      <c r="O83" s="13">
        <f>IFERROR(INDEX(Catalogo!$C$5:$C$129,MATCH(A83,Catalogo!$A$5:$A$129,0)),"")</f>
        <v/>
      </c>
    </row>
    <row r="84">
      <c r="A84" s="13" t="inlineStr">
        <is>
          <t>ME01-I2</t>
        </is>
      </c>
      <c r="B84" s="8" t="n">
        <v>2024</v>
      </c>
      <c r="C84" s="8" t="n">
        <v>75.06</v>
      </c>
      <c r="D84" s="8" t="inlineStr">
        <is>
          <t>Mayor es mejor</t>
        </is>
      </c>
      <c r="E84" s="8" t="inlineStr">
        <is>
          <t>%</t>
        </is>
      </c>
      <c r="F84" s="8" t="inlineStr">
        <is>
          <t>PE FM OE.01: 75,06 % en 2024 [A11] p. 15</t>
        </is>
      </c>
      <c r="G84" s="8" t="inlineStr">
        <is>
          <t>Con fuente</t>
        </is>
      </c>
      <c r="H84" s="8" t="n"/>
      <c r="I84" s="8" t="n"/>
      <c r="J84" s="8" t="inlineStr">
        <is>
          <t>cumplimiento</t>
        </is>
      </c>
      <c r="K84" s="8" t="n"/>
      <c r="L84" s="8" t="inlineStr">
        <is>
          <t>El MAGPROF fija 81 % [A8] p. 44.</t>
        </is>
      </c>
      <c r="M84" s="8" t="inlineStr">
        <is>
          <t>Puntual</t>
        </is>
      </c>
      <c r="N84" s="8" t="inlineStr">
        <is>
          <t>Razón al esperado</t>
        </is>
      </c>
      <c r="O84" s="13">
        <f>IFERROR(INDEX(Catalogo!$C$5:$C$129,MATCH(A84,Catalogo!$A$5:$A$129,0)),"")</f>
        <v/>
      </c>
    </row>
    <row r="85">
      <c r="A85" s="13" t="inlineStr">
        <is>
          <t>ME01-I2</t>
        </is>
      </c>
      <c r="B85" s="8" t="n">
        <v>2025</v>
      </c>
      <c r="C85" s="8" t="n">
        <v>78.03</v>
      </c>
      <c r="D85" s="8" t="inlineStr">
        <is>
          <t>Mayor es mejor</t>
        </is>
      </c>
      <c r="E85" s="8" t="inlineStr">
        <is>
          <t>%</t>
        </is>
      </c>
      <c r="F85" s="8" t="inlineStr">
        <is>
          <t>PE FM OE.01: 78,03 % en 2025 [A11] p. 15</t>
        </is>
      </c>
      <c r="G85" s="8" t="inlineStr">
        <is>
          <t>Con fuente</t>
        </is>
      </c>
      <c r="H85" s="8" t="n"/>
      <c r="I85" s="8" t="n"/>
      <c r="J85" s="8" t="inlineStr">
        <is>
          <t>cumplimiento</t>
        </is>
      </c>
      <c r="K85" s="8" t="n"/>
      <c r="L85" s="8" t="inlineStr">
        <is>
          <t>El MAGPROF fija 81 % [A8] p. 44.</t>
        </is>
      </c>
      <c r="M85" s="8" t="inlineStr">
        <is>
          <t>Puntual</t>
        </is>
      </c>
      <c r="N85" s="8" t="inlineStr">
        <is>
          <t>Razón al esperado</t>
        </is>
      </c>
      <c r="O85" s="13">
        <f>IFERROR(INDEX(Catalogo!$C$5:$C$129,MATCH(A85,Catalogo!$A$5:$A$129,0)),"")</f>
        <v/>
      </c>
    </row>
    <row r="86">
      <c r="A86" s="13" t="inlineStr">
        <is>
          <t>ME01-I2</t>
        </is>
      </c>
      <c r="B86" s="8" t="n">
        <v>2026</v>
      </c>
      <c r="C86" s="8" t="n">
        <v>81.37</v>
      </c>
      <c r="D86" s="8" t="inlineStr">
        <is>
          <t>Mayor es mejor</t>
        </is>
      </c>
      <c r="E86" s="8" t="inlineStr">
        <is>
          <t>%</t>
        </is>
      </c>
      <c r="F86" s="8" t="inlineStr">
        <is>
          <t>PE FM OE.01: 81,37 % en 2026 [A11] p. 15</t>
        </is>
      </c>
      <c r="G86" s="8" t="inlineStr">
        <is>
          <t>Con fuente</t>
        </is>
      </c>
      <c r="H86" s="8" t="n"/>
      <c r="I86" s="8" t="n"/>
      <c r="J86" s="8" t="inlineStr">
        <is>
          <t>cumplimiento</t>
        </is>
      </c>
      <c r="K86" s="8" t="n"/>
      <c r="L86" s="8" t="inlineStr">
        <is>
          <t>El MAGPROF fija 81 % [A8] p. 44.</t>
        </is>
      </c>
      <c r="M86" s="8" t="inlineStr">
        <is>
          <t>Puntual</t>
        </is>
      </c>
      <c r="N86" s="8" t="inlineStr">
        <is>
          <t>Razón al esperado</t>
        </is>
      </c>
      <c r="O86" s="13">
        <f>IFERROR(INDEX(Catalogo!$C$5:$C$129,MATCH(A86,Catalogo!$A$5:$A$129,0)),"")</f>
        <v/>
      </c>
    </row>
    <row r="87">
      <c r="A87" s="13" t="inlineStr">
        <is>
          <t>ME01-I2</t>
        </is>
      </c>
      <c r="B87" s="8" t="n">
        <v>2027</v>
      </c>
      <c r="C87" s="8" t="n">
        <v>83.45999999999999</v>
      </c>
      <c r="D87" s="8" t="inlineStr">
        <is>
          <t>Mayor es mejor</t>
        </is>
      </c>
      <c r="E87" s="8" t="inlineStr">
        <is>
          <t>%</t>
        </is>
      </c>
      <c r="F87" s="8" t="inlineStr">
        <is>
          <t>PE FM OE.01: 83,46 % en 2027 [A11] p. 15</t>
        </is>
      </c>
      <c r="G87" s="8" t="inlineStr">
        <is>
          <t>Con fuente</t>
        </is>
      </c>
      <c r="H87" s="8" t="n"/>
      <c r="I87" s="8" t="n"/>
      <c r="J87" s="8" t="inlineStr">
        <is>
          <t>cumplimiento</t>
        </is>
      </c>
      <c r="K87" s="8" t="n"/>
      <c r="L87" s="8" t="inlineStr">
        <is>
          <t>El MAGPROF fija 81 % [A8] p. 44.</t>
        </is>
      </c>
      <c r="M87" s="8" t="inlineStr">
        <is>
          <t>Puntual</t>
        </is>
      </c>
      <c r="N87" s="8" t="inlineStr">
        <is>
          <t>Razón al esperado</t>
        </is>
      </c>
      <c r="O87" s="13">
        <f>IFERROR(INDEX(Catalogo!$C$5:$C$129,MATCH(A87,Catalogo!$A$5:$A$129,0)),"")</f>
        <v/>
      </c>
    </row>
    <row r="88">
      <c r="A88" s="13" t="inlineStr">
        <is>
          <t>ME01-I3</t>
        </is>
      </c>
      <c r="B88" s="8" t="n"/>
      <c r="C88" s="8" t="n"/>
      <c r="D88" s="8" t="inlineStr">
        <is>
          <t>Por definir</t>
        </is>
      </c>
      <c r="E88" s="8" t="inlineStr">
        <is>
          <t>%</t>
        </is>
      </c>
      <c r="F88" s="8" t="n"/>
      <c r="G88" s="8" t="inlineStr">
        <is>
          <t>En conflicto</t>
        </is>
      </c>
      <c r="H88" s="8" t="n"/>
      <c r="I88" s="8" t="n"/>
      <c r="J88" s="8" t="n"/>
      <c r="K88" s="8" t="n"/>
      <c r="L88" s="8" t="inlineStr">
        <is>
          <t>Una meta por público: estudiantes 60 % (ID8), docentes 75 % (ID18), egresados 70 % (ID21) [A4]. Medir cada público en su ID.</t>
        </is>
      </c>
      <c r="M88" s="8" t="inlineStr">
        <is>
          <t>Puntual</t>
        </is>
      </c>
      <c r="N88" s="8" t="inlineStr">
        <is>
          <t>Razón al esperado</t>
        </is>
      </c>
      <c r="O88" s="13">
        <f>IFERROR(INDEX(Catalogo!$C$5:$C$129,MATCH(A88,Catalogo!$A$5:$A$129,0)),"")</f>
        <v/>
      </c>
    </row>
    <row r="89">
      <c r="A89" s="13" t="inlineStr">
        <is>
          <t>ME02-I1</t>
        </is>
      </c>
      <c r="B89" s="8" t="n"/>
      <c r="C89" s="8" t="n"/>
      <c r="D89" s="8" t="inlineStr">
        <is>
          <t>Por definir</t>
        </is>
      </c>
      <c r="E89" s="8" t="inlineStr">
        <is>
          <t>%</t>
        </is>
      </c>
      <c r="F89" s="8" t="n"/>
      <c r="G89" s="8" t="inlineStr">
        <is>
          <t>Por definir</t>
        </is>
      </c>
      <c r="H89" s="8" t="n"/>
      <c r="I89" s="8" t="n"/>
      <c r="J89" s="8" t="n"/>
      <c r="K89" s="8" t="n"/>
      <c r="L89" s="8" t="n"/>
      <c r="M89" s="8" t="inlineStr">
        <is>
          <t>Puntual</t>
        </is>
      </c>
      <c r="N89" s="8" t="inlineStr">
        <is>
          <t>Razón al esperado</t>
        </is>
      </c>
      <c r="O89" s="13">
        <f>IFERROR(INDEX(Catalogo!$C$5:$C$129,MATCH(A89,Catalogo!$A$5:$A$129,0)),"")</f>
        <v/>
      </c>
    </row>
    <row r="90">
      <c r="A90" s="13" t="inlineStr">
        <is>
          <t>ME02-I3</t>
        </is>
      </c>
      <c r="B90" s="8" t="n"/>
      <c r="C90" s="8" t="n"/>
      <c r="D90" s="8" t="inlineStr">
        <is>
          <t>Por definir</t>
        </is>
      </c>
      <c r="E90" s="8" t="inlineStr">
        <is>
          <t>%</t>
        </is>
      </c>
      <c r="F90" s="8" t="n"/>
      <c r="G90" s="8" t="inlineStr">
        <is>
          <t>Por definir</t>
        </is>
      </c>
      <c r="H90" s="8" t="n"/>
      <c r="I90" s="8" t="n"/>
      <c r="J90" s="8" t="n"/>
      <c r="K90" s="8" t="n"/>
      <c r="L90" s="8" t="n"/>
      <c r="M90" s="8" t="inlineStr">
        <is>
          <t>Puntual</t>
        </is>
      </c>
      <c r="N90" s="8" t="inlineStr">
        <is>
          <t>Razón al esperado</t>
        </is>
      </c>
      <c r="O90" s="13">
        <f>IFERROR(INDEX(Catalogo!$C$5:$C$129,MATCH(A90,Catalogo!$A$5:$A$129,0)),"")</f>
        <v/>
      </c>
    </row>
    <row r="91">
      <c r="A91" s="13" t="inlineStr">
        <is>
          <t>ME03-I1</t>
        </is>
      </c>
      <c r="B91" s="8" t="n"/>
      <c r="C91" s="8" t="n"/>
      <c r="D91" s="8" t="inlineStr">
        <is>
          <t>Por definir</t>
        </is>
      </c>
      <c r="E91" s="8" t="inlineStr">
        <is>
          <t>%</t>
        </is>
      </c>
      <c r="F91" s="8" t="n"/>
      <c r="G91" s="8" t="inlineStr">
        <is>
          <t>Por definir</t>
        </is>
      </c>
      <c r="H91" s="8" t="n"/>
      <c r="I91" s="8" t="n"/>
      <c r="J91" s="8" t="n"/>
      <c r="K91" s="8" t="n"/>
      <c r="L91" s="8" t="n"/>
      <c r="M91" s="8" t="inlineStr">
        <is>
          <t>Puntual</t>
        </is>
      </c>
      <c r="N91" s="8" t="inlineStr">
        <is>
          <t>Razón al esperado</t>
        </is>
      </c>
      <c r="O91" s="13">
        <f>IFERROR(INDEX(Catalogo!$C$5:$C$129,MATCH(A91,Catalogo!$A$5:$A$129,0)),"")</f>
        <v/>
      </c>
    </row>
    <row r="92">
      <c r="A92" s="13" t="inlineStr">
        <is>
          <t>ME03-I2</t>
        </is>
      </c>
      <c r="B92" s="8" t="n"/>
      <c r="C92" s="8" t="n"/>
      <c r="D92" s="8" t="inlineStr">
        <is>
          <t>Por definir</t>
        </is>
      </c>
      <c r="E92" s="8" t="inlineStr">
        <is>
          <t>%</t>
        </is>
      </c>
      <c r="F92" s="8" t="n"/>
      <c r="G92" s="8" t="inlineStr">
        <is>
          <t>Por definir</t>
        </is>
      </c>
      <c r="H92" s="8" t="n"/>
      <c r="I92" s="8" t="n"/>
      <c r="J92" s="8" t="n"/>
      <c r="K92" s="8" t="n"/>
      <c r="L92" s="8" t="n"/>
      <c r="M92" s="8" t="inlineStr">
        <is>
          <t>Puntual</t>
        </is>
      </c>
      <c r="N92" s="8" t="inlineStr">
        <is>
          <t>Razón al esperado</t>
        </is>
      </c>
      <c r="O92" s="13">
        <f>IFERROR(INDEX(Catalogo!$C$5:$C$129,MATCH(A92,Catalogo!$A$5:$A$129,0)),"")</f>
        <v/>
      </c>
    </row>
    <row r="93">
      <c r="A93" s="13" t="inlineStr">
        <is>
          <t>ME03-I3</t>
        </is>
      </c>
      <c r="B93" s="8" t="n"/>
      <c r="C93" s="8" t="n"/>
      <c r="D93" s="8" t="inlineStr">
        <is>
          <t>Por definir</t>
        </is>
      </c>
      <c r="E93" s="8" t="inlineStr">
        <is>
          <t>%</t>
        </is>
      </c>
      <c r="F93" s="8" t="n"/>
      <c r="G93" s="8" t="inlineStr">
        <is>
          <t>Por definir</t>
        </is>
      </c>
      <c r="H93" s="8" t="n"/>
      <c r="I93" s="8" t="n"/>
      <c r="J93" s="8" t="n"/>
      <c r="K93" s="8" t="n"/>
      <c r="L93" s="8" t="n"/>
      <c r="M93" s="8" t="inlineStr">
        <is>
          <t>Puntual</t>
        </is>
      </c>
      <c r="N93" s="8" t="inlineStr">
        <is>
          <t>Razón al esperado</t>
        </is>
      </c>
      <c r="O93" s="13">
        <f>IFERROR(INDEX(Catalogo!$C$5:$C$129,MATCH(A93,Catalogo!$A$5:$A$129,0)),"")</f>
        <v/>
      </c>
    </row>
    <row r="94">
      <c r="A94" s="13" t="inlineStr">
        <is>
          <t>ME06-I1</t>
        </is>
      </c>
      <c r="B94" s="8" t="n"/>
      <c r="C94" s="8" t="n"/>
      <c r="D94" s="8" t="inlineStr">
        <is>
          <t>Por definir</t>
        </is>
      </c>
      <c r="E94" s="8" t="inlineStr">
        <is>
          <t>%</t>
        </is>
      </c>
      <c r="F94" s="8" t="n"/>
      <c r="G94" s="8" t="inlineStr">
        <is>
          <t>Por definir</t>
        </is>
      </c>
      <c r="H94" s="8" t="n"/>
      <c r="I94" s="8" t="n"/>
      <c r="J94" s="8" t="n"/>
      <c r="K94" s="8" t="n"/>
      <c r="L94" s="8" t="n"/>
      <c r="M94" s="8" t="inlineStr">
        <is>
          <t>Puntual</t>
        </is>
      </c>
      <c r="N94" s="8" t="inlineStr">
        <is>
          <t>Razón al esperado</t>
        </is>
      </c>
      <c r="O94" s="13">
        <f>IFERROR(INDEX(Catalogo!$C$5:$C$129,MATCH(A94,Catalogo!$A$5:$A$129,0)),"")</f>
        <v/>
      </c>
    </row>
    <row r="95">
      <c r="A95" s="13" t="inlineStr">
        <is>
          <t>ME06-I2</t>
        </is>
      </c>
      <c r="B95" s="8" t="n"/>
      <c r="C95" s="8" t="n"/>
      <c r="D95" s="8" t="inlineStr">
        <is>
          <t>Por definir</t>
        </is>
      </c>
      <c r="E95" s="8" t="inlineStr">
        <is>
          <t>%</t>
        </is>
      </c>
      <c r="F95" s="8" t="n"/>
      <c r="G95" s="8" t="inlineStr">
        <is>
          <t>Por definir</t>
        </is>
      </c>
      <c r="H95" s="8" t="n"/>
      <c r="I95" s="8" t="n"/>
      <c r="J95" s="8" t="n"/>
      <c r="K95" s="8" t="n"/>
      <c r="L95" s="8" t="n"/>
      <c r="M95" s="8" t="inlineStr">
        <is>
          <t>Puntual</t>
        </is>
      </c>
      <c r="N95" s="8" t="inlineStr">
        <is>
          <t>Razón al esperado</t>
        </is>
      </c>
      <c r="O95" s="13">
        <f>IFERROR(INDEX(Catalogo!$C$5:$C$129,MATCH(A95,Catalogo!$A$5:$A$129,0)),"")</f>
        <v/>
      </c>
    </row>
    <row r="96">
      <c r="A96" s="13" t="inlineStr">
        <is>
          <t>PS02-I1</t>
        </is>
      </c>
      <c r="B96" s="8" t="n"/>
      <c r="C96" s="8" t="n"/>
      <c r="D96" s="8" t="inlineStr">
        <is>
          <t>Por definir</t>
        </is>
      </c>
      <c r="E96" s="8" t="inlineStr">
        <is>
          <t>%</t>
        </is>
      </c>
      <c r="F96" s="8" t="n"/>
      <c r="G96" s="8" t="inlineStr">
        <is>
          <t>Por definir</t>
        </is>
      </c>
      <c r="H96" s="8" t="n"/>
      <c r="I96" s="8" t="n"/>
      <c r="J96" s="8" t="n"/>
      <c r="K96" s="8" t="n"/>
      <c r="L96" s="8" t="n"/>
      <c r="M96" s="8" t="inlineStr">
        <is>
          <t>Puntual</t>
        </is>
      </c>
      <c r="N96" s="8" t="inlineStr">
        <is>
          <t>Razón al esperado</t>
        </is>
      </c>
      <c r="O96" s="13">
        <f>IFERROR(INDEX(Catalogo!$C$5:$C$129,MATCH(A96,Catalogo!$A$5:$A$129,0)),"")</f>
        <v/>
      </c>
    </row>
    <row r="97">
      <c r="A97" s="13" t="inlineStr">
        <is>
          <t>PS02-I2</t>
        </is>
      </c>
      <c r="B97" s="8" t="n"/>
      <c r="C97" s="8" t="n"/>
      <c r="D97" s="8" t="inlineStr">
        <is>
          <t>Por definir</t>
        </is>
      </c>
      <c r="E97" s="8" t="inlineStr">
        <is>
          <t>%</t>
        </is>
      </c>
      <c r="F97" s="8" t="n"/>
      <c r="G97" s="8" t="inlineStr">
        <is>
          <t>Por definir</t>
        </is>
      </c>
      <c r="H97" s="8" t="n"/>
      <c r="I97" s="8" t="n"/>
      <c r="J97" s="8" t="n"/>
      <c r="K97" s="8" t="n"/>
      <c r="L97" s="8" t="n"/>
      <c r="M97" s="8" t="inlineStr">
        <is>
          <t>Puntual</t>
        </is>
      </c>
      <c r="N97" s="8" t="inlineStr">
        <is>
          <t>Razón al esperado</t>
        </is>
      </c>
      <c r="O97" s="13">
        <f>IFERROR(INDEX(Catalogo!$C$5:$C$129,MATCH(A97,Catalogo!$A$5:$A$129,0)),"")</f>
        <v/>
      </c>
    </row>
    <row r="98">
      <c r="A98" s="13" t="inlineStr">
        <is>
          <t>PS02-I3</t>
        </is>
      </c>
      <c r="B98" s="8" t="n"/>
      <c r="C98" s="8" t="n"/>
      <c r="D98" s="8" t="inlineStr">
        <is>
          <t>Por definir</t>
        </is>
      </c>
      <c r="E98" s="8" t="inlineStr">
        <is>
          <t>%</t>
        </is>
      </c>
      <c r="F98" s="8" t="n"/>
      <c r="G98" s="8" t="inlineStr">
        <is>
          <t>En conflicto</t>
        </is>
      </c>
      <c r="H98" s="8" t="n"/>
      <c r="I98" s="8" t="n"/>
      <c r="J98" s="8" t="n"/>
      <c r="K98" s="8" t="n"/>
      <c r="L98" s="8" t="inlineStr">
        <is>
          <t>Una meta por público: estudiantes 60 % (ID8) y docentes 75 % (ID18) [A4]. Medir cada público en su ID.</t>
        </is>
      </c>
      <c r="M98" s="8" t="inlineStr">
        <is>
          <t>Puntual</t>
        </is>
      </c>
      <c r="N98" s="8" t="inlineStr">
        <is>
          <t>Razón al esperado</t>
        </is>
      </c>
      <c r="O98" s="13">
        <f>IFERROR(INDEX(Catalogo!$C$5:$C$129,MATCH(A98,Catalogo!$A$5:$A$129,0)),"")</f>
        <v/>
      </c>
    </row>
    <row r="99">
      <c r="A99" s="13" t="inlineStr">
        <is>
          <t>PS03-I1</t>
        </is>
      </c>
      <c r="B99" s="8" t="n"/>
      <c r="C99" s="8" t="n"/>
      <c r="D99" s="8" t="inlineStr">
        <is>
          <t>Por definir</t>
        </is>
      </c>
      <c r="E99" s="8" t="inlineStr">
        <is>
          <t>%</t>
        </is>
      </c>
      <c r="F99" s="8" t="n"/>
      <c r="G99" s="8" t="inlineStr">
        <is>
          <t>Por definir</t>
        </is>
      </c>
      <c r="H99" s="8" t="n"/>
      <c r="I99" s="8" t="n"/>
      <c r="J99" s="8" t="n"/>
      <c r="K99" s="8" t="n"/>
      <c r="L99" s="8" t="n"/>
      <c r="M99" s="8" t="inlineStr">
        <is>
          <t>Puntual</t>
        </is>
      </c>
      <c r="N99" s="8" t="inlineStr">
        <is>
          <t>Razón al esperado</t>
        </is>
      </c>
      <c r="O99" s="13">
        <f>IFERROR(INDEX(Catalogo!$C$5:$C$129,MATCH(A99,Catalogo!$A$5:$A$129,0)),"")</f>
        <v/>
      </c>
    </row>
    <row r="100">
      <c r="A100" s="13" t="inlineStr">
        <is>
          <t>PS03-I2</t>
        </is>
      </c>
      <c r="B100" s="8" t="n"/>
      <c r="C100" s="8" t="n"/>
      <c r="D100" s="8" t="inlineStr">
        <is>
          <t>Por definir</t>
        </is>
      </c>
      <c r="E100" s="8" t="inlineStr">
        <is>
          <t>%</t>
        </is>
      </c>
      <c r="F100" s="8" t="n"/>
      <c r="G100" s="8" t="inlineStr">
        <is>
          <t>Por definir</t>
        </is>
      </c>
      <c r="H100" s="8" t="n"/>
      <c r="I100" s="8" t="n"/>
      <c r="J100" s="8" t="n"/>
      <c r="K100" s="8" t="n"/>
      <c r="L100" s="8" t="n"/>
      <c r="M100" s="8" t="inlineStr">
        <is>
          <t>Puntual</t>
        </is>
      </c>
      <c r="N100" s="8" t="inlineStr">
        <is>
          <t>Razón al esperado</t>
        </is>
      </c>
      <c r="O100" s="13">
        <f>IFERROR(INDEX(Catalogo!$C$5:$C$129,MATCH(A100,Catalogo!$A$5:$A$129,0)),"")</f>
        <v/>
      </c>
    </row>
    <row r="101">
      <c r="A101" s="13" t="inlineStr">
        <is>
          <t>PS04-I1</t>
        </is>
      </c>
      <c r="B101" s="8" t="n"/>
      <c r="C101" s="8" t="n"/>
      <c r="D101" s="8" t="inlineStr">
        <is>
          <t>Por definir</t>
        </is>
      </c>
      <c r="E101" s="8" t="inlineStr">
        <is>
          <t>%</t>
        </is>
      </c>
      <c r="F101" s="8" t="n"/>
      <c r="G101" s="8" t="inlineStr">
        <is>
          <t>Por definir</t>
        </is>
      </c>
      <c r="H101" s="8" t="n"/>
      <c r="I101" s="8" t="n"/>
      <c r="J101" s="8" t="n"/>
      <c r="K101" s="8" t="n"/>
      <c r="L101" s="8" t="n"/>
      <c r="M101" s="8" t="inlineStr">
        <is>
          <t>Puntual</t>
        </is>
      </c>
      <c r="N101" s="8" t="inlineStr">
        <is>
          <t>Razón al esperado</t>
        </is>
      </c>
      <c r="O101" s="13">
        <f>IFERROR(INDEX(Catalogo!$C$5:$C$129,MATCH(A101,Catalogo!$A$5:$A$129,0)),"")</f>
        <v/>
      </c>
    </row>
    <row r="102">
      <c r="A102" s="13" t="inlineStr">
        <is>
          <t>PS04-I3</t>
        </is>
      </c>
      <c r="B102" s="8" t="n"/>
      <c r="C102" s="8" t="n"/>
      <c r="D102" s="8" t="inlineStr">
        <is>
          <t>Por definir</t>
        </is>
      </c>
      <c r="E102" s="8" t="inlineStr">
        <is>
          <t>%</t>
        </is>
      </c>
      <c r="F102" s="8" t="n"/>
      <c r="G102" s="8" t="inlineStr">
        <is>
          <t>Por definir</t>
        </is>
      </c>
      <c r="H102" s="8" t="n"/>
      <c r="I102" s="8" t="n"/>
      <c r="J102" s="8" t="n"/>
      <c r="K102" s="8" t="n"/>
      <c r="L102" s="8" t="n"/>
      <c r="M102" s="8" t="inlineStr">
        <is>
          <t>Puntual</t>
        </is>
      </c>
      <c r="N102" s="8" t="inlineStr">
        <is>
          <t>Razón al esperado</t>
        </is>
      </c>
      <c r="O102" s="13">
        <f>IFERROR(INDEX(Catalogo!$C$5:$C$129,MATCH(A102,Catalogo!$A$5:$A$129,0)),"")</f>
        <v/>
      </c>
    </row>
    <row r="103">
      <c r="A103" s="13" t="inlineStr">
        <is>
          <t>PS06-I1</t>
        </is>
      </c>
      <c r="B103" s="8" t="n"/>
      <c r="C103" s="8" t="n"/>
      <c r="D103" s="8" t="inlineStr">
        <is>
          <t>Por definir</t>
        </is>
      </c>
      <c r="E103" s="8" t="inlineStr">
        <is>
          <t>%</t>
        </is>
      </c>
      <c r="F103" s="8" t="n"/>
      <c r="G103" s="8" t="inlineStr">
        <is>
          <t>Por definir</t>
        </is>
      </c>
      <c r="H103" s="8" t="n"/>
      <c r="I103" s="8" t="n"/>
      <c r="J103" s="8" t="n"/>
      <c r="K103" s="8" t="n"/>
      <c r="L103" s="8" t="n"/>
      <c r="M103" s="8" t="inlineStr">
        <is>
          <t>Puntual</t>
        </is>
      </c>
      <c r="N103" s="8" t="inlineStr">
        <is>
          <t>Razón al esperado</t>
        </is>
      </c>
      <c r="O103" s="13">
        <f>IFERROR(INDEX(Catalogo!$C$5:$C$129,MATCH(A103,Catalogo!$A$5:$A$129,0)),"")</f>
        <v/>
      </c>
    </row>
    <row r="104">
      <c r="A104" s="13" t="inlineStr">
        <is>
          <t>PS06-I2</t>
        </is>
      </c>
      <c r="B104" s="8" t="n"/>
      <c r="C104" s="8" t="n"/>
      <c r="D104" s="8" t="inlineStr">
        <is>
          <t>Por definir</t>
        </is>
      </c>
      <c r="E104" s="8" t="inlineStr">
        <is>
          <t>%</t>
        </is>
      </c>
      <c r="F104" s="8" t="n"/>
      <c r="G104" s="8" t="inlineStr">
        <is>
          <t>Por definir</t>
        </is>
      </c>
      <c r="H104" s="8" t="n"/>
      <c r="I104" s="8" t="n"/>
      <c r="J104" s="8" t="n"/>
      <c r="K104" s="8" t="n"/>
      <c r="L104" s="8" t="n"/>
      <c r="M104" s="8" t="inlineStr">
        <is>
          <t>Puntual</t>
        </is>
      </c>
      <c r="N104" s="8" t="inlineStr">
        <is>
          <t>Razón al esperado</t>
        </is>
      </c>
      <c r="O104" s="13">
        <f>IFERROR(INDEX(Catalogo!$C$5:$C$129,MATCH(A104,Catalogo!$A$5:$A$129,0)),"")</f>
        <v/>
      </c>
    </row>
    <row r="105">
      <c r="A105" s="13" t="inlineStr">
        <is>
          <t>PS06-I3</t>
        </is>
      </c>
      <c r="B105" s="8" t="n"/>
      <c r="C105" s="8" t="n"/>
      <c r="D105" s="8" t="inlineStr">
        <is>
          <t>Por definir</t>
        </is>
      </c>
      <c r="E105" s="8" t="inlineStr">
        <is>
          <t>%</t>
        </is>
      </c>
      <c r="F105" s="8" t="n"/>
      <c r="G105" s="8" t="inlineStr">
        <is>
          <t>Por definir</t>
        </is>
      </c>
      <c r="H105" s="8" t="n"/>
      <c r="I105" s="8" t="n"/>
      <c r="J105" s="8" t="n"/>
      <c r="K105" s="8" t="n"/>
      <c r="L105" s="8" t="n"/>
      <c r="M105" s="8" t="inlineStr">
        <is>
          <t>Puntual</t>
        </is>
      </c>
      <c r="N105" s="8" t="inlineStr">
        <is>
          <t>Razón al esperado</t>
        </is>
      </c>
      <c r="O105" s="13">
        <f>IFERROR(INDEX(Catalogo!$C$5:$C$129,MATCH(A105,Catalogo!$A$5:$A$129,0)),"")</f>
        <v/>
      </c>
    </row>
    <row r="106">
      <c r="A106" s="13" t="inlineStr">
        <is>
          <t>PM09-P1</t>
        </is>
      </c>
      <c r="B106" s="8" t="n"/>
      <c r="C106" s="8" t="n"/>
      <c r="D106" s="8" t="inlineStr">
        <is>
          <t>Por definir</t>
        </is>
      </c>
      <c r="E106" s="8" t="inlineStr">
        <is>
          <t>%</t>
        </is>
      </c>
      <c r="F106" s="8" t="n"/>
      <c r="G106" s="8" t="inlineStr">
        <is>
          <t>Por definir</t>
        </is>
      </c>
      <c r="H106" s="8" t="n"/>
      <c r="I106" s="8" t="n"/>
      <c r="J106" s="8" t="n"/>
      <c r="K106" s="8" t="n"/>
      <c r="L106" s="8" t="n"/>
      <c r="M106" s="8" t="inlineStr">
        <is>
          <t>Puntual</t>
        </is>
      </c>
      <c r="N106" s="8" t="inlineStr">
        <is>
          <t>Razón al esperado</t>
        </is>
      </c>
      <c r="O106" s="13">
        <f>IFERROR(INDEX(Catalogo!$C$5:$C$129,MATCH(A106,Catalogo!$A$5:$A$129,0)),"")</f>
        <v/>
      </c>
    </row>
    <row r="107">
      <c r="A107" s="13" t="inlineStr">
        <is>
          <t>PM09-P2</t>
        </is>
      </c>
      <c r="B107" s="8" t="n"/>
      <c r="C107" s="8" t="n"/>
      <c r="D107" s="8" t="inlineStr">
        <is>
          <t>Por definir</t>
        </is>
      </c>
      <c r="E107" s="8" t="inlineStr">
        <is>
          <t>%</t>
        </is>
      </c>
      <c r="F107" s="8" t="n"/>
      <c r="G107" s="8" t="inlineStr">
        <is>
          <t>Por definir</t>
        </is>
      </c>
      <c r="H107" s="8" t="n"/>
      <c r="I107" s="8" t="n"/>
      <c r="J107" s="8" t="n"/>
      <c r="K107" s="8" t="n"/>
      <c r="L107" s="8" t="n"/>
      <c r="M107" s="8" t="inlineStr">
        <is>
          <t>Puntual</t>
        </is>
      </c>
      <c r="N107" s="8" t="inlineStr">
        <is>
          <t>Razón al esperado</t>
        </is>
      </c>
      <c r="O107" s="13">
        <f>IFERROR(INDEX(Catalogo!$C$5:$C$129,MATCH(A107,Catalogo!$A$5:$A$129,0)),"")</f>
        <v/>
      </c>
    </row>
    <row r="108">
      <c r="A108" s="13" t="inlineStr">
        <is>
          <t>PM10-P5</t>
        </is>
      </c>
      <c r="B108" s="8" t="n"/>
      <c r="C108" s="8" t="n"/>
      <c r="D108" s="8" t="inlineStr">
        <is>
          <t>Por definir</t>
        </is>
      </c>
      <c r="E108" s="8" t="inlineStr">
        <is>
          <t>%</t>
        </is>
      </c>
      <c r="F108" s="8" t="n"/>
      <c r="G108" s="8" t="inlineStr">
        <is>
          <t>Por definir</t>
        </is>
      </c>
      <c r="H108" s="8" t="n"/>
      <c r="I108" s="8" t="n"/>
      <c r="J108" s="8" t="n"/>
      <c r="K108" s="8" t="n"/>
      <c r="L108" s="8" t="n"/>
      <c r="M108" s="8" t="inlineStr">
        <is>
          <t>Puntual</t>
        </is>
      </c>
      <c r="N108" s="8" t="inlineStr">
        <is>
          <t>Razón al esperado</t>
        </is>
      </c>
      <c r="O108" s="13">
        <f>IFERROR(INDEX(Catalogo!$C$5:$C$129,MATCH(A108,Catalogo!$A$5:$A$129,0)),"")</f>
        <v/>
      </c>
    </row>
    <row r="109">
      <c r="A109" s="13" t="inlineStr">
        <is>
          <t>PE01-P6</t>
        </is>
      </c>
      <c r="B109" s="8" t="n"/>
      <c r="C109" s="8" t="n"/>
      <c r="D109" s="8" t="inlineStr">
        <is>
          <t>Por definir</t>
        </is>
      </c>
      <c r="E109" s="8" t="inlineStr">
        <is>
          <t>%</t>
        </is>
      </c>
      <c r="F109" s="8" t="n"/>
      <c r="G109" s="8" t="inlineStr">
        <is>
          <t>Por definir</t>
        </is>
      </c>
      <c r="H109" s="8" t="n"/>
      <c r="I109" s="8" t="n"/>
      <c r="J109" s="8" t="n"/>
      <c r="K109" s="8" t="n"/>
      <c r="L109" s="8" t="n"/>
      <c r="M109" s="8" t="inlineStr">
        <is>
          <t>Puntual</t>
        </is>
      </c>
      <c r="N109" s="8" t="inlineStr">
        <is>
          <t>Razón al esperado</t>
        </is>
      </c>
      <c r="O109" s="13">
        <f>IFERROR(INDEX(Catalogo!$C$5:$C$129,MATCH(A109,Catalogo!$A$5:$A$129,0)),"")</f>
        <v/>
      </c>
    </row>
    <row r="110">
      <c r="A110" s="13" t="inlineStr">
        <is>
          <t>PE01-P7</t>
        </is>
      </c>
      <c r="B110" s="8" t="n"/>
      <c r="C110" s="8" t="n"/>
      <c r="D110" s="8" t="inlineStr">
        <is>
          <t>Por definir</t>
        </is>
      </c>
      <c r="E110" s="8" t="inlineStr">
        <is>
          <t>%</t>
        </is>
      </c>
      <c r="F110" s="8" t="n"/>
      <c r="G110" s="8" t="inlineStr">
        <is>
          <t>Por definir</t>
        </is>
      </c>
      <c r="H110" s="8" t="n"/>
      <c r="I110" s="8" t="n"/>
      <c r="J110" s="8" t="n"/>
      <c r="K110" s="8" t="n"/>
      <c r="L110" s="8" t="n"/>
      <c r="M110" s="8" t="inlineStr">
        <is>
          <t>Puntual</t>
        </is>
      </c>
      <c r="N110" s="8" t="inlineStr">
        <is>
          <t>Razón al esperado</t>
        </is>
      </c>
      <c r="O110" s="13">
        <f>IFERROR(INDEX(Catalogo!$C$5:$C$129,MATCH(A110,Catalogo!$A$5:$A$129,0)),"")</f>
        <v/>
      </c>
    </row>
    <row r="111">
      <c r="A111" s="13" t="inlineStr">
        <is>
          <t>PE01-P8</t>
        </is>
      </c>
      <c r="B111" s="8" t="n"/>
      <c r="C111" s="8" t="n"/>
      <c r="D111" s="8" t="inlineStr">
        <is>
          <t>Por definir</t>
        </is>
      </c>
      <c r="E111" s="8" t="inlineStr">
        <is>
          <t>%</t>
        </is>
      </c>
      <c r="F111" s="8" t="n"/>
      <c r="G111" s="8" t="inlineStr">
        <is>
          <t>Por definir</t>
        </is>
      </c>
      <c r="H111" s="8" t="n"/>
      <c r="I111" s="8" t="n"/>
      <c r="J111" s="8" t="n"/>
      <c r="K111" s="8" t="n"/>
      <c r="L111" s="8" t="n"/>
      <c r="M111" s="8" t="inlineStr">
        <is>
          <t>Puntual</t>
        </is>
      </c>
      <c r="N111" s="8" t="inlineStr">
        <is>
          <t>Razón al esperado</t>
        </is>
      </c>
      <c r="O111" s="13">
        <f>IFERROR(INDEX(Catalogo!$C$5:$C$129,MATCH(A111,Catalogo!$A$5:$A$129,0)),"")</f>
        <v/>
      </c>
    </row>
    <row r="112">
      <c r="A112" s="13" t="inlineStr">
        <is>
          <t>PEFM-OE.01</t>
        </is>
      </c>
      <c r="B112" s="8" t="n">
        <v>2024</v>
      </c>
      <c r="C112" s="8" t="n">
        <v>75.06</v>
      </c>
      <c r="D112" s="8" t="inlineStr">
        <is>
          <t>Mayor es mejor</t>
        </is>
      </c>
      <c r="E112" s="8" t="inlineStr">
        <is>
          <t>%</t>
        </is>
      </c>
      <c r="F112" s="8" t="inlineStr">
        <is>
          <t>PE - INDICADORES FM. 1.xlsx, hoja 'PE MEDICION 2024 - 2025-I', fila 7, columna LOGRO ESPERADO 2024</t>
        </is>
      </c>
      <c r="G112" s="8" t="inlineStr">
        <is>
          <t>Con fuente</t>
        </is>
      </c>
      <c r="H112" s="8" t="n"/>
      <c r="I112" s="8" t="n"/>
      <c r="J112" s="8" t="inlineStr">
        <is>
          <t>cumplimiento</t>
        </is>
      </c>
      <c r="K112" s="8" t="n"/>
      <c r="L112" s="8" t="inlineStr">
        <is>
          <t>Porcentaje o índice: un valor parcial queda «En seguimiento» [CP].</t>
        </is>
      </c>
      <c r="M112" s="8" t="inlineStr">
        <is>
          <t>Puntual</t>
        </is>
      </c>
      <c r="N112" s="8" t="inlineStr">
        <is>
          <t>Razón al esperado</t>
        </is>
      </c>
      <c r="O112" s="13">
        <f>IFERROR(INDEX(Catalogo!$C$5:$C$129,MATCH(A112,Catalogo!$A$5:$A$129,0)),"")</f>
        <v/>
      </c>
    </row>
    <row r="113">
      <c r="A113" s="13" t="inlineStr">
        <is>
          <t>PEFM-OE.01</t>
        </is>
      </c>
      <c r="B113" s="8" t="n">
        <v>2025</v>
      </c>
      <c r="C113" s="8" t="n">
        <v>78.03</v>
      </c>
      <c r="D113" s="8" t="inlineStr">
        <is>
          <t>Mayor es mejor</t>
        </is>
      </c>
      <c r="E113" s="8" t="inlineStr">
        <is>
          <t>%</t>
        </is>
      </c>
      <c r="F113" s="8" t="inlineStr">
        <is>
          <t>PE - INDICADORES FM. 1.xlsx, hoja 'PE MEDICION 2024 - 2025-I', fila 7, columna LOGRO ESPERADO 2025</t>
        </is>
      </c>
      <c r="G113" s="8" t="inlineStr">
        <is>
          <t>Con fuente</t>
        </is>
      </c>
      <c r="H113" s="8" t="n"/>
      <c r="I113" s="8" t="n"/>
      <c r="J113" s="8" t="inlineStr">
        <is>
          <t>cumplimiento</t>
        </is>
      </c>
      <c r="K113" s="8" t="n"/>
      <c r="L113" s="8" t="inlineStr">
        <is>
          <t>Porcentaje o índice: un valor parcial queda «En seguimiento» [CP].</t>
        </is>
      </c>
      <c r="M113" s="8" t="inlineStr">
        <is>
          <t>Puntual</t>
        </is>
      </c>
      <c r="N113" s="8" t="inlineStr">
        <is>
          <t>Razón al esperado</t>
        </is>
      </c>
      <c r="O113" s="13">
        <f>IFERROR(INDEX(Catalogo!$C$5:$C$129,MATCH(A113,Catalogo!$A$5:$A$129,0)),"")</f>
        <v/>
      </c>
    </row>
    <row r="114">
      <c r="A114" s="13" t="inlineStr">
        <is>
          <t>PEFM-OE.01</t>
        </is>
      </c>
      <c r="B114" s="8" t="n">
        <v>2026</v>
      </c>
      <c r="C114" s="8" t="n">
        <v>81.37</v>
      </c>
      <c r="D114" s="8" t="inlineStr">
        <is>
          <t>Mayor es mejor</t>
        </is>
      </c>
      <c r="E114" s="8" t="inlineStr">
        <is>
          <t>%</t>
        </is>
      </c>
      <c r="F114" s="8" t="inlineStr">
        <is>
          <t>PE FM 2024-2027 [A11], matriz p. 15, código OE.01</t>
        </is>
      </c>
      <c r="G114" s="8" t="inlineStr">
        <is>
          <t>Con fuente</t>
        </is>
      </c>
      <c r="H114" s="8" t="n"/>
      <c r="I114" s="8" t="n"/>
      <c r="J114" s="8" t="inlineStr">
        <is>
          <t>cumplimiento</t>
        </is>
      </c>
      <c r="K114" s="8" t="n"/>
      <c r="L114" s="8" t="inlineStr">
        <is>
          <t>Porcentaje o índice: un valor parcial queda «En seguimiento» [CP].</t>
        </is>
      </c>
      <c r="M114" s="8" t="inlineStr">
        <is>
          <t>Puntual</t>
        </is>
      </c>
      <c r="N114" s="8" t="inlineStr">
        <is>
          <t>Razón al esperado</t>
        </is>
      </c>
      <c r="O114" s="13">
        <f>IFERROR(INDEX(Catalogo!$C$5:$C$129,MATCH(A114,Catalogo!$A$5:$A$129,0)),"")</f>
        <v/>
      </c>
    </row>
    <row r="115">
      <c r="A115" s="13" t="inlineStr">
        <is>
          <t>PEFM-OE.01</t>
        </is>
      </c>
      <c r="B115" s="8" t="n">
        <v>2027</v>
      </c>
      <c r="C115" s="8" t="n">
        <v>83.45999999999999</v>
      </c>
      <c r="D115" s="8" t="inlineStr">
        <is>
          <t>Mayor es mejor</t>
        </is>
      </c>
      <c r="E115" s="8" t="inlineStr">
        <is>
          <t>%</t>
        </is>
      </c>
      <c r="F115" s="8" t="inlineStr">
        <is>
          <t>PE FM 2024-2027 [A11], matriz p. 15, código OE.01</t>
        </is>
      </c>
      <c r="G115" s="8" t="inlineStr">
        <is>
          <t>Con fuente</t>
        </is>
      </c>
      <c r="H115" s="8" t="n"/>
      <c r="I115" s="8" t="n"/>
      <c r="J115" s="8" t="inlineStr">
        <is>
          <t>cumplimiento</t>
        </is>
      </c>
      <c r="K115" s="8" t="n"/>
      <c r="L115" s="8" t="inlineStr">
        <is>
          <t>Porcentaje o índice: un valor parcial queda «En seguimiento» [CP].</t>
        </is>
      </c>
      <c r="M115" s="8" t="inlineStr">
        <is>
          <t>Puntual</t>
        </is>
      </c>
      <c r="N115" s="8" t="inlineStr">
        <is>
          <t>Razón al esperado</t>
        </is>
      </c>
      <c r="O115" s="13">
        <f>IFERROR(INDEX(Catalogo!$C$5:$C$129,MATCH(A115,Catalogo!$A$5:$A$129,0)),"")</f>
        <v/>
      </c>
    </row>
    <row r="116">
      <c r="A116" s="13" t="inlineStr">
        <is>
          <t>PEFM-AE.01.01</t>
        </is>
      </c>
      <c r="B116" s="8" t="n">
        <v>2024</v>
      </c>
      <c r="C116" s="8" t="n">
        <v>354</v>
      </c>
      <c r="D116" s="8" t="inlineStr">
        <is>
          <t>Mayor es mejor</t>
        </is>
      </c>
      <c r="E116" s="8" t="inlineStr">
        <is>
          <t>número</t>
        </is>
      </c>
      <c r="F116" s="8" t="inlineStr">
        <is>
          <t>PE - INDICADORES FM. 1.xlsx, hoja 'PE MEDICION 2024 - 2025-I', fila 10, columna LOGRO ESPERADO 2024</t>
        </is>
      </c>
      <c r="G116" s="8" t="inlineStr">
        <is>
          <t>Con fuente</t>
        </is>
      </c>
      <c r="H116" s="8" t="n"/>
      <c r="I116" s="8" t="n"/>
      <c r="J116" s="8" t="inlineStr">
        <is>
          <t>cumplimiento</t>
        </is>
      </c>
      <c r="K116" s="8" t="n"/>
      <c r="L116" s="8" t="inlineStr">
        <is>
          <t>Se acumula en el año: se compara con lo esperado a la fecha de corte [CP].</t>
        </is>
      </c>
      <c r="M116" s="8" t="inlineStr">
        <is>
          <t>Acumulado en el año</t>
        </is>
      </c>
      <c r="N116" s="8" t="inlineStr">
        <is>
          <t>Razón al esperado</t>
        </is>
      </c>
      <c r="O116" s="13">
        <f>IFERROR(INDEX(Catalogo!$C$5:$C$129,MATCH(A116,Catalogo!$A$5:$A$129,0)),"")</f>
        <v/>
      </c>
    </row>
    <row r="117">
      <c r="A117" s="13" t="inlineStr">
        <is>
          <t>PEFM-AE.01.01</t>
        </is>
      </c>
      <c r="B117" s="8" t="n">
        <v>2025</v>
      </c>
      <c r="C117" s="8" t="n">
        <v>398</v>
      </c>
      <c r="D117" s="8" t="inlineStr">
        <is>
          <t>Mayor es mejor</t>
        </is>
      </c>
      <c r="E117" s="8" t="inlineStr">
        <is>
          <t>número</t>
        </is>
      </c>
      <c r="F117" s="8" t="inlineStr">
        <is>
          <t>PE - INDICADORES FM. 1.xlsx, hoja 'PE MEDICION 2024 - 2025-I', fila 10, columna LOGRO ESPERADO 2025</t>
        </is>
      </c>
      <c r="G117" s="8" t="inlineStr">
        <is>
          <t>Con fuente</t>
        </is>
      </c>
      <c r="H117" s="8" t="n"/>
      <c r="I117" s="8" t="n"/>
      <c r="J117" s="8" t="inlineStr">
        <is>
          <t>cumplimiento</t>
        </is>
      </c>
      <c r="K117" s="8" t="n"/>
      <c r="L117" s="8" t="inlineStr">
        <is>
          <t>Se acumula en el año: se compara con lo esperado a la fecha de corte [CP].</t>
        </is>
      </c>
      <c r="M117" s="8" t="inlineStr">
        <is>
          <t>Acumulado en el año</t>
        </is>
      </c>
      <c r="N117" s="8" t="inlineStr">
        <is>
          <t>Razón al esperado</t>
        </is>
      </c>
      <c r="O117" s="13">
        <f>IFERROR(INDEX(Catalogo!$C$5:$C$129,MATCH(A117,Catalogo!$A$5:$A$129,0)),"")</f>
        <v/>
      </c>
    </row>
    <row r="118">
      <c r="A118" s="13" t="inlineStr">
        <is>
          <t>PEFM-AE.01.01</t>
        </is>
      </c>
      <c r="B118" s="8" t="n">
        <v>2026</v>
      </c>
      <c r="C118" s="8" t="n">
        <v>428</v>
      </c>
      <c r="D118" s="8" t="inlineStr">
        <is>
          <t>Mayor es mejor</t>
        </is>
      </c>
      <c r="E118" s="8" t="inlineStr">
        <is>
          <t>número</t>
        </is>
      </c>
      <c r="F118" s="8" t="inlineStr">
        <is>
          <t>PE FM 2024-2027 [A11], matriz p. 15, código AE.01.01</t>
        </is>
      </c>
      <c r="G118" s="8" t="inlineStr">
        <is>
          <t>Con fuente</t>
        </is>
      </c>
      <c r="H118" s="8" t="n"/>
      <c r="I118" s="8" t="n"/>
      <c r="J118" s="8" t="inlineStr">
        <is>
          <t>cumplimiento</t>
        </is>
      </c>
      <c r="K118" s="8" t="n"/>
      <c r="L118" s="8" t="inlineStr">
        <is>
          <t>Se acumula en el año: se compara con lo esperado a la fecha de corte [CP].</t>
        </is>
      </c>
      <c r="M118" s="8" t="inlineStr">
        <is>
          <t>Acumulado en el año</t>
        </is>
      </c>
      <c r="N118" s="8" t="inlineStr">
        <is>
          <t>Razón al esperado</t>
        </is>
      </c>
      <c r="O118" s="13">
        <f>IFERROR(INDEX(Catalogo!$C$5:$C$129,MATCH(A118,Catalogo!$A$5:$A$129,0)),"")</f>
        <v/>
      </c>
    </row>
    <row r="119">
      <c r="A119" s="13" t="inlineStr">
        <is>
          <t>PEFM-AE.01.01</t>
        </is>
      </c>
      <c r="B119" s="8" t="n">
        <v>2027</v>
      </c>
      <c r="C119" s="8" t="n">
        <v>464</v>
      </c>
      <c r="D119" s="8" t="inlineStr">
        <is>
          <t>Mayor es mejor</t>
        </is>
      </c>
      <c r="E119" s="8" t="inlineStr">
        <is>
          <t>número</t>
        </is>
      </c>
      <c r="F119" s="8" t="inlineStr">
        <is>
          <t>PE FM 2024-2027 [A11], matriz p. 15, código AE.01.01</t>
        </is>
      </c>
      <c r="G119" s="8" t="inlineStr">
        <is>
          <t>Con fuente</t>
        </is>
      </c>
      <c r="H119" s="8" t="n"/>
      <c r="I119" s="8" t="n"/>
      <c r="J119" s="8" t="inlineStr">
        <is>
          <t>cumplimiento</t>
        </is>
      </c>
      <c r="K119" s="8" t="n"/>
      <c r="L119" s="8" t="inlineStr">
        <is>
          <t>Se acumula en el año: se compara con lo esperado a la fecha de corte [CP].</t>
        </is>
      </c>
      <c r="M119" s="8" t="inlineStr">
        <is>
          <t>Acumulado en el año</t>
        </is>
      </c>
      <c r="N119" s="8" t="inlineStr">
        <is>
          <t>Razón al esperado</t>
        </is>
      </c>
      <c r="O119" s="13">
        <f>IFERROR(INDEX(Catalogo!$C$5:$C$129,MATCH(A119,Catalogo!$A$5:$A$129,0)),"")</f>
        <v/>
      </c>
    </row>
    <row r="120">
      <c r="A120" s="13" t="inlineStr">
        <is>
          <t>PEFM-AE.01.02</t>
        </is>
      </c>
      <c r="B120" s="8" t="n">
        <v>2024</v>
      </c>
      <c r="C120" s="8" t="n">
        <v>100</v>
      </c>
      <c r="D120" s="8" t="inlineStr">
        <is>
          <t>Mayor es mejor</t>
        </is>
      </c>
      <c r="E120" s="8" t="inlineStr">
        <is>
          <t>%</t>
        </is>
      </c>
      <c r="F120" s="8" t="inlineStr">
        <is>
          <t>PE - INDICADORES FM. 1.xlsx, hoja 'PE MEDICION 2024 - 2025-I', fila 11, columna LOGRO ESPERADO 2024</t>
        </is>
      </c>
      <c r="G120" s="8" t="inlineStr">
        <is>
          <t>Con fuente</t>
        </is>
      </c>
      <c r="H120" s="8" t="n"/>
      <c r="I120" s="8" t="n"/>
      <c r="J120" s="8" t="inlineStr">
        <is>
          <t>cumplimiento</t>
        </is>
      </c>
      <c r="K120" s="8" t="n"/>
      <c r="L120" s="8" t="inlineStr">
        <is>
          <t>Porcentaje o índice: un valor parcial queda «En seguimiento» [CP].</t>
        </is>
      </c>
      <c r="M120" s="8" t="inlineStr">
        <is>
          <t>Puntual</t>
        </is>
      </c>
      <c r="N120" s="8" t="inlineStr">
        <is>
          <t>Razón al esperado</t>
        </is>
      </c>
      <c r="O120" s="13">
        <f>IFERROR(INDEX(Catalogo!$C$5:$C$129,MATCH(A120,Catalogo!$A$5:$A$129,0)),"")</f>
        <v/>
      </c>
    </row>
    <row r="121">
      <c r="A121" s="13" t="inlineStr">
        <is>
          <t>PEFM-AE.01.02</t>
        </is>
      </c>
      <c r="B121" s="8" t="n">
        <v>2025</v>
      </c>
      <c r="C121" s="8" t="n">
        <v>100</v>
      </c>
      <c r="D121" s="8" t="inlineStr">
        <is>
          <t>Mayor es mejor</t>
        </is>
      </c>
      <c r="E121" s="8" t="inlineStr">
        <is>
          <t>%</t>
        </is>
      </c>
      <c r="F121" s="8" t="inlineStr">
        <is>
          <t>PE - INDICADORES FM. 1.xlsx, hoja 'PE MEDICION 2024 - 2025-I', fila 11, columna LOGRO ESPERADO 2025</t>
        </is>
      </c>
      <c r="G121" s="8" t="inlineStr">
        <is>
          <t>Con fuente</t>
        </is>
      </c>
      <c r="H121" s="8" t="n"/>
      <c r="I121" s="8" t="n"/>
      <c r="J121" s="8" t="inlineStr">
        <is>
          <t>cumplimiento</t>
        </is>
      </c>
      <c r="K121" s="8" t="n"/>
      <c r="L121" s="8" t="inlineStr">
        <is>
          <t>Porcentaje o índice: un valor parcial queda «En seguimiento» [CP].</t>
        </is>
      </c>
      <c r="M121" s="8" t="inlineStr">
        <is>
          <t>Puntual</t>
        </is>
      </c>
      <c r="N121" s="8" t="inlineStr">
        <is>
          <t>Razón al esperado</t>
        </is>
      </c>
      <c r="O121" s="13">
        <f>IFERROR(INDEX(Catalogo!$C$5:$C$129,MATCH(A121,Catalogo!$A$5:$A$129,0)),"")</f>
        <v/>
      </c>
    </row>
    <row r="122">
      <c r="A122" s="13" t="inlineStr">
        <is>
          <t>PEFM-AE.01.02</t>
        </is>
      </c>
      <c r="B122" s="8" t="n">
        <v>2026</v>
      </c>
      <c r="C122" s="8" t="n">
        <v>100</v>
      </c>
      <c r="D122" s="8" t="inlineStr">
        <is>
          <t>Mayor es mejor</t>
        </is>
      </c>
      <c r="E122" s="8" t="inlineStr">
        <is>
          <t>%</t>
        </is>
      </c>
      <c r="F122" s="8" t="inlineStr">
        <is>
          <t>PE FM 2024-2027 [A11], matriz p. 15, código AE.01.02</t>
        </is>
      </c>
      <c r="G122" s="8" t="inlineStr">
        <is>
          <t>Con fuente</t>
        </is>
      </c>
      <c r="H122" s="8" t="n"/>
      <c r="I122" s="8" t="n"/>
      <c r="J122" s="8" t="inlineStr">
        <is>
          <t>cumplimiento</t>
        </is>
      </c>
      <c r="K122" s="8" t="n"/>
      <c r="L122" s="8" t="inlineStr">
        <is>
          <t>Porcentaje o índice: un valor parcial queda «En seguimiento» [CP].</t>
        </is>
      </c>
      <c r="M122" s="8" t="inlineStr">
        <is>
          <t>Puntual</t>
        </is>
      </c>
      <c r="N122" s="8" t="inlineStr">
        <is>
          <t>Razón al esperado</t>
        </is>
      </c>
      <c r="O122" s="13">
        <f>IFERROR(INDEX(Catalogo!$C$5:$C$129,MATCH(A122,Catalogo!$A$5:$A$129,0)),"")</f>
        <v/>
      </c>
    </row>
    <row r="123">
      <c r="A123" s="13" t="inlineStr">
        <is>
          <t>PEFM-AE.01.02</t>
        </is>
      </c>
      <c r="B123" s="8" t="n">
        <v>2027</v>
      </c>
      <c r="C123" s="8" t="n">
        <v>100</v>
      </c>
      <c r="D123" s="8" t="inlineStr">
        <is>
          <t>Mayor es mejor</t>
        </is>
      </c>
      <c r="E123" s="8" t="inlineStr">
        <is>
          <t>%</t>
        </is>
      </c>
      <c r="F123" s="8" t="inlineStr">
        <is>
          <t>PE FM 2024-2027 [A11], matriz p. 15, código AE.01.02</t>
        </is>
      </c>
      <c r="G123" s="8" t="inlineStr">
        <is>
          <t>Con fuente</t>
        </is>
      </c>
      <c r="H123" s="8" t="n"/>
      <c r="I123" s="8" t="n"/>
      <c r="J123" s="8" t="inlineStr">
        <is>
          <t>cumplimiento</t>
        </is>
      </c>
      <c r="K123" s="8" t="n"/>
      <c r="L123" s="8" t="inlineStr">
        <is>
          <t>Porcentaje o índice: un valor parcial queda «En seguimiento» [CP].</t>
        </is>
      </c>
      <c r="M123" s="8" t="inlineStr">
        <is>
          <t>Puntual</t>
        </is>
      </c>
      <c r="N123" s="8" t="inlineStr">
        <is>
          <t>Razón al esperado</t>
        </is>
      </c>
      <c r="O123" s="13">
        <f>IFERROR(INDEX(Catalogo!$C$5:$C$129,MATCH(A123,Catalogo!$A$5:$A$129,0)),"")</f>
        <v/>
      </c>
    </row>
    <row r="124">
      <c r="A124" s="13" t="inlineStr">
        <is>
          <t>PEFM-AE.01.03-1</t>
        </is>
      </c>
      <c r="B124" s="8" t="n">
        <v>2024</v>
      </c>
      <c r="C124" s="8" t="n">
        <v>35</v>
      </c>
      <c r="D124" s="8" t="inlineStr">
        <is>
          <t>Mayor es mejor</t>
        </is>
      </c>
      <c r="E124" s="8" t="inlineStr">
        <is>
          <t>%</t>
        </is>
      </c>
      <c r="F124" s="8" t="inlineStr">
        <is>
          <t>PE - INDICADORES FM. 1.xlsx, hoja 'PE MEDICION 2024 - 2025-I', fila 12, columna LOGRO ESPERADO 2024</t>
        </is>
      </c>
      <c r="G124" s="8" t="inlineStr">
        <is>
          <t>Con fuente</t>
        </is>
      </c>
      <c r="H124" s="8" t="n"/>
      <c r="I124" s="8" t="n"/>
      <c r="J124" s="8" t="inlineStr">
        <is>
          <t>cumplimiento</t>
        </is>
      </c>
      <c r="K124" s="8" t="n"/>
      <c r="L124" s="8" t="inlineStr">
        <is>
          <t>Porcentaje o índice: un valor parcial queda «En seguimiento» [CP].</t>
        </is>
      </c>
      <c r="M124" s="8" t="inlineStr">
        <is>
          <t>Puntual</t>
        </is>
      </c>
      <c r="N124" s="8" t="inlineStr">
        <is>
          <t>Razón al esperado</t>
        </is>
      </c>
      <c r="O124" s="13">
        <f>IFERROR(INDEX(Catalogo!$C$5:$C$129,MATCH(A124,Catalogo!$A$5:$A$129,0)),"")</f>
        <v/>
      </c>
    </row>
    <row r="125">
      <c r="A125" s="13" t="inlineStr">
        <is>
          <t>PEFM-AE.01.03-1</t>
        </is>
      </c>
      <c r="B125" s="8" t="n">
        <v>2025</v>
      </c>
      <c r="C125" s="8" t="n">
        <v>50</v>
      </c>
      <c r="D125" s="8" t="inlineStr">
        <is>
          <t>Mayor es mejor</t>
        </is>
      </c>
      <c r="E125" s="8" t="inlineStr">
        <is>
          <t>%</t>
        </is>
      </c>
      <c r="F125" s="8" t="inlineStr">
        <is>
          <t>PE - INDICADORES FM. 1.xlsx, hoja 'PE MEDICION 2024 - 2025-I', fila 12, columna LOGRO ESPERADO 2025</t>
        </is>
      </c>
      <c r="G125" s="8" t="inlineStr">
        <is>
          <t>Con fuente</t>
        </is>
      </c>
      <c r="H125" s="8" t="n"/>
      <c r="I125" s="8" t="n"/>
      <c r="J125" s="8" t="inlineStr">
        <is>
          <t>cumplimiento</t>
        </is>
      </c>
      <c r="K125" s="8" t="n"/>
      <c r="L125" s="8" t="inlineStr">
        <is>
          <t>Porcentaje o índice: un valor parcial queda «En seguimiento» [CP].</t>
        </is>
      </c>
      <c r="M125" s="8" t="inlineStr">
        <is>
          <t>Puntual</t>
        </is>
      </c>
      <c r="N125" s="8" t="inlineStr">
        <is>
          <t>Razón al esperado</t>
        </is>
      </c>
      <c r="O125" s="13">
        <f>IFERROR(INDEX(Catalogo!$C$5:$C$129,MATCH(A125,Catalogo!$A$5:$A$129,0)),"")</f>
        <v/>
      </c>
    </row>
    <row r="126">
      <c r="A126" s="13" t="inlineStr">
        <is>
          <t>PEFM-AE.01.03-1</t>
        </is>
      </c>
      <c r="B126" s="8" t="n">
        <v>2026</v>
      </c>
      <c r="C126" s="8" t="n">
        <v>70</v>
      </c>
      <c r="D126" s="8" t="inlineStr">
        <is>
          <t>Mayor es mejor</t>
        </is>
      </c>
      <c r="E126" s="8" t="inlineStr">
        <is>
          <t>%</t>
        </is>
      </c>
      <c r="F126" s="8" t="inlineStr">
        <is>
          <t>PE FM 2024-2027 [A11], matriz p. 16, código AE.01.03-1</t>
        </is>
      </c>
      <c r="G126" s="8" t="inlineStr">
        <is>
          <t>Con fuente</t>
        </is>
      </c>
      <c r="H126" s="8" t="n"/>
      <c r="I126" s="8" t="n"/>
      <c r="J126" s="8" t="inlineStr">
        <is>
          <t>cumplimiento</t>
        </is>
      </c>
      <c r="K126" s="8" t="n"/>
      <c r="L126" s="8" t="inlineStr">
        <is>
          <t>Porcentaje o índice: un valor parcial queda «En seguimiento» [CP].</t>
        </is>
      </c>
      <c r="M126" s="8" t="inlineStr">
        <is>
          <t>Puntual</t>
        </is>
      </c>
      <c r="N126" s="8" t="inlineStr">
        <is>
          <t>Razón al esperado</t>
        </is>
      </c>
      <c r="O126" s="13">
        <f>IFERROR(INDEX(Catalogo!$C$5:$C$129,MATCH(A126,Catalogo!$A$5:$A$129,0)),"")</f>
        <v/>
      </c>
    </row>
    <row r="127">
      <c r="A127" s="13" t="inlineStr">
        <is>
          <t>PEFM-AE.01.03-1</t>
        </is>
      </c>
      <c r="B127" s="8" t="n">
        <v>2027</v>
      </c>
      <c r="C127" s="8" t="n">
        <v>80</v>
      </c>
      <c r="D127" s="8" t="inlineStr">
        <is>
          <t>Mayor es mejor</t>
        </is>
      </c>
      <c r="E127" s="8" t="inlineStr">
        <is>
          <t>%</t>
        </is>
      </c>
      <c r="F127" s="8" t="inlineStr">
        <is>
          <t>PE FM 2024-2027 [A11], matriz p. 16, código AE.01.03-1</t>
        </is>
      </c>
      <c r="G127" s="8" t="inlineStr">
        <is>
          <t>Con fuente</t>
        </is>
      </c>
      <c r="H127" s="8" t="n"/>
      <c r="I127" s="8" t="n"/>
      <c r="J127" s="8" t="inlineStr">
        <is>
          <t>cumplimiento</t>
        </is>
      </c>
      <c r="K127" s="8" t="n"/>
      <c r="L127" s="8" t="inlineStr">
        <is>
          <t>Porcentaje o índice: un valor parcial queda «En seguimiento» [CP].</t>
        </is>
      </c>
      <c r="M127" s="8" t="inlineStr">
        <is>
          <t>Puntual</t>
        </is>
      </c>
      <c r="N127" s="8" t="inlineStr">
        <is>
          <t>Razón al esperado</t>
        </is>
      </c>
      <c r="O127" s="13">
        <f>IFERROR(INDEX(Catalogo!$C$5:$C$129,MATCH(A127,Catalogo!$A$5:$A$129,0)),"")</f>
        <v/>
      </c>
    </row>
    <row r="128">
      <c r="A128" s="13" t="inlineStr">
        <is>
          <t>PEFM-AE.01.03-2</t>
        </is>
      </c>
      <c r="B128" s="8" t="n">
        <v>2024</v>
      </c>
      <c r="C128" s="8" t="n">
        <v>57</v>
      </c>
      <c r="D128" s="8" t="inlineStr">
        <is>
          <t>Por definir</t>
        </is>
      </c>
      <c r="E128" s="8" t="inlineStr">
        <is>
          <t>número</t>
        </is>
      </c>
      <c r="F128" s="8" t="inlineStr">
        <is>
          <t>PE - INDICADORES FM. 1.xlsx, hoja 'PE MEDICION 2024 - 2025-I', fila 13, columna LOGRO ESPERADO 2024</t>
        </is>
      </c>
      <c r="G128" s="8" t="inlineStr">
        <is>
          <t>Con fuente</t>
        </is>
      </c>
      <c r="H128" s="8" t="n"/>
      <c r="I128" s="8" t="n"/>
      <c r="J128" s="8" t="inlineStr">
        <is>
          <t>cumplimiento</t>
        </is>
      </c>
      <c r="K128" s="8" t="n"/>
      <c r="L128" s="8" t="inlineStr">
        <is>
          <t>Sentido descendente en el PE FM pero la AOI de tutorías se evalúa como ascendente: sentido por confirmar. Se acumula en el año: se compara con lo esperado a la fecha de corte [CP].</t>
        </is>
      </c>
      <c r="M128" s="8" t="inlineStr">
        <is>
          <t>Acumulado en el año</t>
        </is>
      </c>
      <c r="N128" s="8" t="inlineStr">
        <is>
          <t>Razón al esperado</t>
        </is>
      </c>
      <c r="O128" s="13">
        <f>IFERROR(INDEX(Catalogo!$C$5:$C$129,MATCH(A128,Catalogo!$A$5:$A$129,0)),"")</f>
        <v/>
      </c>
    </row>
    <row r="129">
      <c r="A129" s="13" t="inlineStr">
        <is>
          <t>PEFM-AE.01.03-2</t>
        </is>
      </c>
      <c r="B129" s="8" t="n">
        <v>2025</v>
      </c>
      <c r="C129" s="8" t="n">
        <v>54</v>
      </c>
      <c r="D129" s="8" t="inlineStr">
        <is>
          <t>Por definir</t>
        </is>
      </c>
      <c r="E129" s="8" t="inlineStr">
        <is>
          <t>número</t>
        </is>
      </c>
      <c r="F129" s="8" t="inlineStr">
        <is>
          <t>PE - INDICADORES FM. 1.xlsx, hoja 'PE MEDICION 2024 - 2025-I', fila 13, columna LOGRO ESPERADO 2025</t>
        </is>
      </c>
      <c r="G129" s="8" t="inlineStr">
        <is>
          <t>Con fuente</t>
        </is>
      </c>
      <c r="H129" s="8" t="n"/>
      <c r="I129" s="8" t="n"/>
      <c r="J129" s="8" t="inlineStr">
        <is>
          <t>cumplimiento</t>
        </is>
      </c>
      <c r="K129" s="8" t="n"/>
      <c r="L129" s="8" t="inlineStr">
        <is>
          <t>Sentido descendente en el PE FM pero la AOI de tutorías se evalúa como ascendente: sentido por confirmar. Se acumula en el año: se compara con lo esperado a la fecha de corte [CP].</t>
        </is>
      </c>
      <c r="M129" s="8" t="inlineStr">
        <is>
          <t>Acumulado en el año</t>
        </is>
      </c>
      <c r="N129" s="8" t="inlineStr">
        <is>
          <t>Razón al esperado</t>
        </is>
      </c>
      <c r="O129" s="13">
        <f>IFERROR(INDEX(Catalogo!$C$5:$C$129,MATCH(A129,Catalogo!$A$5:$A$129,0)),"")</f>
        <v/>
      </c>
    </row>
    <row r="130">
      <c r="A130" s="13" t="inlineStr">
        <is>
          <t>PEFM-AE.01.03-2</t>
        </is>
      </c>
      <c r="B130" s="8" t="n">
        <v>2026</v>
      </c>
      <c r="C130" s="8" t="n">
        <v>49</v>
      </c>
      <c r="D130" s="8" t="inlineStr">
        <is>
          <t>Por definir</t>
        </is>
      </c>
      <c r="E130" s="8" t="inlineStr">
        <is>
          <t>número</t>
        </is>
      </c>
      <c r="F130" s="8" t="inlineStr">
        <is>
          <t>PE FM 2024-2027 [A11], matriz p. 16, código AE.01.03-2</t>
        </is>
      </c>
      <c r="G130" s="8" t="inlineStr">
        <is>
          <t>Con fuente</t>
        </is>
      </c>
      <c r="H130" s="8" t="n"/>
      <c r="I130" s="8" t="n"/>
      <c r="J130" s="8" t="inlineStr">
        <is>
          <t>cumplimiento</t>
        </is>
      </c>
      <c r="K130" s="8" t="n"/>
      <c r="L130" s="8" t="inlineStr">
        <is>
          <t>Sentido descendente en el PE FM pero la AOI de tutorías se evalúa como ascendente: sentido por confirmar. Se acumula en el año: se compara con lo esperado a la fecha de corte [CP].</t>
        </is>
      </c>
      <c r="M130" s="8" t="inlineStr">
        <is>
          <t>Acumulado en el año</t>
        </is>
      </c>
      <c r="N130" s="8" t="inlineStr">
        <is>
          <t>Razón al esperado</t>
        </is>
      </c>
      <c r="O130" s="13">
        <f>IFERROR(INDEX(Catalogo!$C$5:$C$129,MATCH(A130,Catalogo!$A$5:$A$129,0)),"")</f>
        <v/>
      </c>
    </row>
    <row r="131">
      <c r="A131" s="13" t="inlineStr">
        <is>
          <t>PEFM-AE.01.03-2</t>
        </is>
      </c>
      <c r="B131" s="8" t="n">
        <v>2027</v>
      </c>
      <c r="C131" s="8" t="n">
        <v>49</v>
      </c>
      <c r="D131" s="8" t="inlineStr">
        <is>
          <t>Por definir</t>
        </is>
      </c>
      <c r="E131" s="8" t="inlineStr">
        <is>
          <t>número</t>
        </is>
      </c>
      <c r="F131" s="8" t="inlineStr">
        <is>
          <t>PE FM 2024-2027 [A11], matriz p. 16, código AE.01.03-2</t>
        </is>
      </c>
      <c r="G131" s="8" t="inlineStr">
        <is>
          <t>Con fuente</t>
        </is>
      </c>
      <c r="H131" s="8" t="n"/>
      <c r="I131" s="8" t="n"/>
      <c r="J131" s="8" t="inlineStr">
        <is>
          <t>cumplimiento</t>
        </is>
      </c>
      <c r="K131" s="8" t="n"/>
      <c r="L131" s="8" t="inlineStr">
        <is>
          <t>Sentido descendente en el PE FM pero la AOI de tutorías se evalúa como ascendente: sentido por confirmar. Se acumula en el año: se compara con lo esperado a la fecha de corte [CP].</t>
        </is>
      </c>
      <c r="M131" s="8" t="inlineStr">
        <is>
          <t>Acumulado en el año</t>
        </is>
      </c>
      <c r="N131" s="8" t="inlineStr">
        <is>
          <t>Razón al esperado</t>
        </is>
      </c>
      <c r="O131" s="13">
        <f>IFERROR(INDEX(Catalogo!$C$5:$C$129,MATCH(A131,Catalogo!$A$5:$A$129,0)),"")</f>
        <v/>
      </c>
    </row>
    <row r="132">
      <c r="A132" s="13" t="inlineStr">
        <is>
          <t>PEFM-AE.01.04-1</t>
        </is>
      </c>
      <c r="B132" s="8" t="n">
        <v>2024</v>
      </c>
      <c r="C132" s="8" t="n">
        <v>20</v>
      </c>
      <c r="D132" s="8" t="inlineStr">
        <is>
          <t>Mayor es mejor</t>
        </is>
      </c>
      <c r="E132" s="8" t="inlineStr">
        <is>
          <t>%</t>
        </is>
      </c>
      <c r="F132" s="8" t="inlineStr">
        <is>
          <t>PE - INDICADORES FM. 1.xlsx, hoja 'PE MEDICION 2024 - 2025-I', fila 14, columna LOGRO ESPERADO 2024</t>
        </is>
      </c>
      <c r="G132" s="8" t="inlineStr">
        <is>
          <t>Con fuente</t>
        </is>
      </c>
      <c r="H132" s="8" t="n"/>
      <c r="I132" s="8" t="n"/>
      <c r="J132" s="8" t="inlineStr">
        <is>
          <t>cumplimiento</t>
        </is>
      </c>
      <c r="K132" s="8" t="n"/>
      <c r="L132" s="8" t="inlineStr">
        <is>
          <t>Porcentaje o índice: un valor parcial queda «En seguimiento» [CP].</t>
        </is>
      </c>
      <c r="M132" s="8" t="inlineStr">
        <is>
          <t>Puntual</t>
        </is>
      </c>
      <c r="N132" s="8" t="inlineStr">
        <is>
          <t>Razón al esperado</t>
        </is>
      </c>
      <c r="O132" s="13">
        <f>IFERROR(INDEX(Catalogo!$C$5:$C$129,MATCH(A132,Catalogo!$A$5:$A$129,0)),"")</f>
        <v/>
      </c>
    </row>
    <row r="133">
      <c r="A133" s="13" t="inlineStr">
        <is>
          <t>PEFM-AE.01.04-1</t>
        </is>
      </c>
      <c r="B133" s="8" t="n">
        <v>2025</v>
      </c>
      <c r="C133" s="8" t="n">
        <v>20</v>
      </c>
      <c r="D133" s="8" t="inlineStr">
        <is>
          <t>Mayor es mejor</t>
        </is>
      </c>
      <c r="E133" s="8" t="inlineStr">
        <is>
          <t>%</t>
        </is>
      </c>
      <c r="F133" s="8" t="inlineStr">
        <is>
          <t>PE - INDICADORES FM. 1.xlsx, hoja 'PE MEDICION 2024 - 2025-I', fila 14, columna LOGRO ESPERADO 2025</t>
        </is>
      </c>
      <c r="G133" s="8" t="inlineStr">
        <is>
          <t>Con fuente</t>
        </is>
      </c>
      <c r="H133" s="8" t="n"/>
      <c r="I133" s="8" t="n"/>
      <c r="J133" s="8" t="inlineStr">
        <is>
          <t>cumplimiento</t>
        </is>
      </c>
      <c r="K133" s="8" t="n"/>
      <c r="L133" s="8" t="inlineStr">
        <is>
          <t>Porcentaje o índice: un valor parcial queda «En seguimiento» [CP].</t>
        </is>
      </c>
      <c r="M133" s="8" t="inlineStr">
        <is>
          <t>Puntual</t>
        </is>
      </c>
      <c r="N133" s="8" t="inlineStr">
        <is>
          <t>Razón al esperado</t>
        </is>
      </c>
      <c r="O133" s="13">
        <f>IFERROR(INDEX(Catalogo!$C$5:$C$129,MATCH(A133,Catalogo!$A$5:$A$129,0)),"")</f>
        <v/>
      </c>
    </row>
    <row r="134">
      <c r="A134" s="13" t="inlineStr">
        <is>
          <t>PEFM-AE.01.04-1</t>
        </is>
      </c>
      <c r="B134" s="8" t="n">
        <v>2026</v>
      </c>
      <c r="C134" s="8" t="n">
        <v>40</v>
      </c>
      <c r="D134" s="8" t="inlineStr">
        <is>
          <t>Mayor es mejor</t>
        </is>
      </c>
      <c r="E134" s="8" t="inlineStr">
        <is>
          <t>%</t>
        </is>
      </c>
      <c r="F134" s="8" t="inlineStr">
        <is>
          <t>PE FM 2024-2027 [A11], matriz p. 16, código AE.01.04-1</t>
        </is>
      </c>
      <c r="G134" s="8" t="inlineStr">
        <is>
          <t>Con fuente</t>
        </is>
      </c>
      <c r="H134" s="8" t="n"/>
      <c r="I134" s="8" t="n"/>
      <c r="J134" s="8" t="inlineStr">
        <is>
          <t>cumplimiento</t>
        </is>
      </c>
      <c r="K134" s="8" t="n"/>
      <c r="L134" s="8" t="inlineStr">
        <is>
          <t>Porcentaje o índice: un valor parcial queda «En seguimiento» [CP].</t>
        </is>
      </c>
      <c r="M134" s="8" t="inlineStr">
        <is>
          <t>Puntual</t>
        </is>
      </c>
      <c r="N134" s="8" t="inlineStr">
        <is>
          <t>Razón al esperado</t>
        </is>
      </c>
      <c r="O134" s="13">
        <f>IFERROR(INDEX(Catalogo!$C$5:$C$129,MATCH(A134,Catalogo!$A$5:$A$129,0)),"")</f>
        <v/>
      </c>
    </row>
    <row r="135">
      <c r="A135" s="13" t="inlineStr">
        <is>
          <t>PEFM-AE.01.04-1</t>
        </is>
      </c>
      <c r="B135" s="8" t="n">
        <v>2027</v>
      </c>
      <c r="C135" s="8" t="n">
        <v>40</v>
      </c>
      <c r="D135" s="8" t="inlineStr">
        <is>
          <t>Mayor es mejor</t>
        </is>
      </c>
      <c r="E135" s="8" t="inlineStr">
        <is>
          <t>%</t>
        </is>
      </c>
      <c r="F135" s="8" t="inlineStr">
        <is>
          <t>PE FM 2024-2027 [A11], matriz p. 16, código AE.01.04-1</t>
        </is>
      </c>
      <c r="G135" s="8" t="inlineStr">
        <is>
          <t>Con fuente</t>
        </is>
      </c>
      <c r="H135" s="8" t="n"/>
      <c r="I135" s="8" t="n"/>
      <c r="J135" s="8" t="inlineStr">
        <is>
          <t>cumplimiento</t>
        </is>
      </c>
      <c r="K135" s="8" t="n"/>
      <c r="L135" s="8" t="inlineStr">
        <is>
          <t>Porcentaje o índice: un valor parcial queda «En seguimiento» [CP].</t>
        </is>
      </c>
      <c r="M135" s="8" t="inlineStr">
        <is>
          <t>Puntual</t>
        </is>
      </c>
      <c r="N135" s="8" t="inlineStr">
        <is>
          <t>Razón al esperado</t>
        </is>
      </c>
      <c r="O135" s="13">
        <f>IFERROR(INDEX(Catalogo!$C$5:$C$129,MATCH(A135,Catalogo!$A$5:$A$129,0)),"")</f>
        <v/>
      </c>
    </row>
    <row r="136">
      <c r="A136" s="13" t="inlineStr">
        <is>
          <t>PEFM-AE.01.04-2</t>
        </is>
      </c>
      <c r="B136" s="8" t="n">
        <v>2024</v>
      </c>
      <c r="C136" s="8" t="n">
        <v>20</v>
      </c>
      <c r="D136" s="8" t="inlineStr">
        <is>
          <t>Mayor es mejor</t>
        </is>
      </c>
      <c r="E136" s="8" t="inlineStr">
        <is>
          <t>%</t>
        </is>
      </c>
      <c r="F136" s="8" t="inlineStr">
        <is>
          <t>PE - INDICADORES FM. 1.xlsx, hoja 'PE MEDICION 2024 - 2025-I', fila 15, columna LOGRO ESPERADO 2024</t>
        </is>
      </c>
      <c r="G136" s="8" t="inlineStr">
        <is>
          <t>Con fuente</t>
        </is>
      </c>
      <c r="H136" s="8" t="n"/>
      <c r="I136" s="8" t="n"/>
      <c r="J136" s="8" t="inlineStr">
        <is>
          <t>cumplimiento</t>
        </is>
      </c>
      <c r="K136" s="8" t="n"/>
      <c r="L136" s="8" t="inlineStr">
        <is>
          <t>Porcentaje o índice: un valor parcial queda «En seguimiento» [CP].</t>
        </is>
      </c>
      <c r="M136" s="8" t="inlineStr">
        <is>
          <t>Puntual</t>
        </is>
      </c>
      <c r="N136" s="8" t="inlineStr">
        <is>
          <t>Razón al esperado</t>
        </is>
      </c>
      <c r="O136" s="13">
        <f>IFERROR(INDEX(Catalogo!$C$5:$C$129,MATCH(A136,Catalogo!$A$5:$A$129,0)),"")</f>
        <v/>
      </c>
    </row>
    <row r="137">
      <c r="A137" s="13" t="inlineStr">
        <is>
          <t>PEFM-AE.01.04-2</t>
        </is>
      </c>
      <c r="B137" s="8" t="n">
        <v>2025</v>
      </c>
      <c r="C137" s="8" t="n">
        <v>20</v>
      </c>
      <c r="D137" s="8" t="inlineStr">
        <is>
          <t>Mayor es mejor</t>
        </is>
      </c>
      <c r="E137" s="8" t="inlineStr">
        <is>
          <t>%</t>
        </is>
      </c>
      <c r="F137" s="8" t="inlineStr">
        <is>
          <t>PE - INDICADORES FM. 1.xlsx, hoja 'PE MEDICION 2024 - 2025-I', fila 15, columna LOGRO ESPERADO 2025</t>
        </is>
      </c>
      <c r="G137" s="8" t="inlineStr">
        <is>
          <t>Con fuente</t>
        </is>
      </c>
      <c r="H137" s="8" t="n"/>
      <c r="I137" s="8" t="n"/>
      <c r="J137" s="8" t="inlineStr">
        <is>
          <t>cumplimiento</t>
        </is>
      </c>
      <c r="K137" s="8" t="n"/>
      <c r="L137" s="8" t="inlineStr">
        <is>
          <t>Porcentaje o índice: un valor parcial queda «En seguimiento» [CP].</t>
        </is>
      </c>
      <c r="M137" s="8" t="inlineStr">
        <is>
          <t>Puntual</t>
        </is>
      </c>
      <c r="N137" s="8" t="inlineStr">
        <is>
          <t>Razón al esperado</t>
        </is>
      </c>
      <c r="O137" s="13">
        <f>IFERROR(INDEX(Catalogo!$C$5:$C$129,MATCH(A137,Catalogo!$A$5:$A$129,0)),"")</f>
        <v/>
      </c>
    </row>
    <row r="138">
      <c r="A138" s="13" t="inlineStr">
        <is>
          <t>PEFM-AE.01.04-2</t>
        </is>
      </c>
      <c r="B138" s="8" t="n">
        <v>2026</v>
      </c>
      <c r="C138" s="8" t="n">
        <v>100</v>
      </c>
      <c r="D138" s="8" t="inlineStr">
        <is>
          <t>Mayor es mejor</t>
        </is>
      </c>
      <c r="E138" s="8" t="inlineStr">
        <is>
          <t>%</t>
        </is>
      </c>
      <c r="F138" s="8" t="inlineStr">
        <is>
          <t>PE FM 2024-2027 [A11], matriz p. 16, código AE.01.04-2</t>
        </is>
      </c>
      <c r="G138" s="8" t="inlineStr">
        <is>
          <t>Con fuente</t>
        </is>
      </c>
      <c r="H138" s="8" t="n"/>
      <c r="I138" s="8" t="n"/>
      <c r="J138" s="8" t="inlineStr">
        <is>
          <t>cumplimiento</t>
        </is>
      </c>
      <c r="K138" s="8" t="n"/>
      <c r="L138" s="8" t="inlineStr">
        <is>
          <t>Porcentaje o índice: un valor parcial queda «En seguimiento» [CP].</t>
        </is>
      </c>
      <c r="M138" s="8" t="inlineStr">
        <is>
          <t>Puntual</t>
        </is>
      </c>
      <c r="N138" s="8" t="inlineStr">
        <is>
          <t>Razón al esperado</t>
        </is>
      </c>
      <c r="O138" s="13">
        <f>IFERROR(INDEX(Catalogo!$C$5:$C$129,MATCH(A138,Catalogo!$A$5:$A$129,0)),"")</f>
        <v/>
      </c>
    </row>
    <row r="139">
      <c r="A139" s="13" t="inlineStr">
        <is>
          <t>PEFM-AE.01.04-2</t>
        </is>
      </c>
      <c r="B139" s="8" t="n">
        <v>2027</v>
      </c>
      <c r="C139" s="8" t="n">
        <v>100</v>
      </c>
      <c r="D139" s="8" t="inlineStr">
        <is>
          <t>Mayor es mejor</t>
        </is>
      </c>
      <c r="E139" s="8" t="inlineStr">
        <is>
          <t>%</t>
        </is>
      </c>
      <c r="F139" s="8" t="inlineStr">
        <is>
          <t>PE FM 2024-2027 [A11], matriz p. 16, código AE.01.04-2</t>
        </is>
      </c>
      <c r="G139" s="8" t="inlineStr">
        <is>
          <t>Con fuente</t>
        </is>
      </c>
      <c r="H139" s="8" t="n"/>
      <c r="I139" s="8" t="n"/>
      <c r="J139" s="8" t="inlineStr">
        <is>
          <t>cumplimiento</t>
        </is>
      </c>
      <c r="K139" s="8" t="n"/>
      <c r="L139" s="8" t="inlineStr">
        <is>
          <t>Porcentaje o índice: un valor parcial queda «En seguimiento» [CP].</t>
        </is>
      </c>
      <c r="M139" s="8" t="inlineStr">
        <is>
          <t>Puntual</t>
        </is>
      </c>
      <c r="N139" s="8" t="inlineStr">
        <is>
          <t>Razón al esperado</t>
        </is>
      </c>
      <c r="O139" s="13">
        <f>IFERROR(INDEX(Catalogo!$C$5:$C$129,MATCH(A139,Catalogo!$A$5:$A$129,0)),"")</f>
        <v/>
      </c>
    </row>
    <row r="140">
      <c r="A140" s="13" t="inlineStr">
        <is>
          <t>PEFM-AE.01.05-1</t>
        </is>
      </c>
      <c r="B140" s="8" t="n">
        <v>2024</v>
      </c>
      <c r="C140" s="8" t="n">
        <v>100</v>
      </c>
      <c r="D140" s="8" t="inlineStr">
        <is>
          <t>Mayor es mejor</t>
        </is>
      </c>
      <c r="E140" s="8" t="inlineStr">
        <is>
          <t>%</t>
        </is>
      </c>
      <c r="F140" s="8" t="inlineStr">
        <is>
          <t>PE - INDICADORES FM. 1.xlsx, hoja 'PE MEDICION 2024 - 2025-I', fila 16, columna LOGRO ESPERADO 2024</t>
        </is>
      </c>
      <c r="G140" s="8" t="inlineStr">
        <is>
          <t>Con fuente</t>
        </is>
      </c>
      <c r="H140" s="8" t="n"/>
      <c r="I140" s="8" t="n"/>
      <c r="J140" s="8" t="inlineStr">
        <is>
          <t>cumplimiento</t>
        </is>
      </c>
      <c r="K140" s="8" t="n"/>
      <c r="L140" s="8" t="inlineStr">
        <is>
          <t>Porcentaje o índice: un valor parcial queda «En seguimiento» [CP].</t>
        </is>
      </c>
      <c r="M140" s="8" t="inlineStr">
        <is>
          <t>Puntual</t>
        </is>
      </c>
      <c r="N140" s="8" t="inlineStr">
        <is>
          <t>Razón al esperado</t>
        </is>
      </c>
      <c r="O140" s="13">
        <f>IFERROR(INDEX(Catalogo!$C$5:$C$129,MATCH(A140,Catalogo!$A$5:$A$129,0)),"")</f>
        <v/>
      </c>
    </row>
    <row r="141">
      <c r="A141" s="13" t="inlineStr">
        <is>
          <t>PEFM-AE.01.05-1</t>
        </is>
      </c>
      <c r="B141" s="8" t="n">
        <v>2025</v>
      </c>
      <c r="C141" s="8" t="n">
        <v>100</v>
      </c>
      <c r="D141" s="8" t="inlineStr">
        <is>
          <t>Mayor es mejor</t>
        </is>
      </c>
      <c r="E141" s="8" t="inlineStr">
        <is>
          <t>%</t>
        </is>
      </c>
      <c r="F141" s="8" t="inlineStr">
        <is>
          <t>PE - INDICADORES FM. 1.xlsx, hoja 'PE MEDICION 2024 - 2025-I', fila 16, columna LOGRO ESPERADO 2025</t>
        </is>
      </c>
      <c r="G141" s="8" t="inlineStr">
        <is>
          <t>Con fuente</t>
        </is>
      </c>
      <c r="H141" s="8" t="n"/>
      <c r="I141" s="8" t="n"/>
      <c r="J141" s="8" t="inlineStr">
        <is>
          <t>cumplimiento</t>
        </is>
      </c>
      <c r="K141" s="8" t="n"/>
      <c r="L141" s="8" t="inlineStr">
        <is>
          <t>Porcentaje o índice: un valor parcial queda «En seguimiento» [CP].</t>
        </is>
      </c>
      <c r="M141" s="8" t="inlineStr">
        <is>
          <t>Puntual</t>
        </is>
      </c>
      <c r="N141" s="8" t="inlineStr">
        <is>
          <t>Razón al esperado</t>
        </is>
      </c>
      <c r="O141" s="13">
        <f>IFERROR(INDEX(Catalogo!$C$5:$C$129,MATCH(A141,Catalogo!$A$5:$A$129,0)),"")</f>
        <v/>
      </c>
    </row>
    <row r="142">
      <c r="A142" s="13" t="inlineStr">
        <is>
          <t>PEFM-AE.01.05-1</t>
        </is>
      </c>
      <c r="B142" s="8" t="n">
        <v>2026</v>
      </c>
      <c r="C142" s="8" t="n">
        <v>100</v>
      </c>
      <c r="D142" s="8" t="inlineStr">
        <is>
          <t>Mayor es mejor</t>
        </is>
      </c>
      <c r="E142" s="8" t="inlineStr">
        <is>
          <t>%</t>
        </is>
      </c>
      <c r="F142" s="8" t="inlineStr">
        <is>
          <t>PE FM 2024-2027 [A11], matriz p. 17, código AE.01.05-1</t>
        </is>
      </c>
      <c r="G142" s="8" t="inlineStr">
        <is>
          <t>Con fuente</t>
        </is>
      </c>
      <c r="H142" s="8" t="n"/>
      <c r="I142" s="8" t="n"/>
      <c r="J142" s="8" t="inlineStr">
        <is>
          <t>cumplimiento</t>
        </is>
      </c>
      <c r="K142" s="8" t="n"/>
      <c r="L142" s="8" t="inlineStr">
        <is>
          <t>Porcentaje o índice: un valor parcial queda «En seguimiento» [CP].</t>
        </is>
      </c>
      <c r="M142" s="8" t="inlineStr">
        <is>
          <t>Puntual</t>
        </is>
      </c>
      <c r="N142" s="8" t="inlineStr">
        <is>
          <t>Razón al esperado</t>
        </is>
      </c>
      <c r="O142" s="13">
        <f>IFERROR(INDEX(Catalogo!$C$5:$C$129,MATCH(A142,Catalogo!$A$5:$A$129,0)),"")</f>
        <v/>
      </c>
    </row>
    <row r="143">
      <c r="A143" s="13" t="inlineStr">
        <is>
          <t>PEFM-AE.01.05-1</t>
        </is>
      </c>
      <c r="B143" s="8" t="n">
        <v>2027</v>
      </c>
      <c r="C143" s="8" t="n">
        <v>100</v>
      </c>
      <c r="D143" s="8" t="inlineStr">
        <is>
          <t>Mayor es mejor</t>
        </is>
      </c>
      <c r="E143" s="8" t="inlineStr">
        <is>
          <t>%</t>
        </is>
      </c>
      <c r="F143" s="8" t="inlineStr">
        <is>
          <t>PE FM 2024-2027 [A11], matriz p. 17, código AE.01.05-1</t>
        </is>
      </c>
      <c r="G143" s="8" t="inlineStr">
        <is>
          <t>Con fuente</t>
        </is>
      </c>
      <c r="H143" s="8" t="n"/>
      <c r="I143" s="8" t="n"/>
      <c r="J143" s="8" t="inlineStr">
        <is>
          <t>cumplimiento</t>
        </is>
      </c>
      <c r="K143" s="8" t="n"/>
      <c r="L143" s="8" t="inlineStr">
        <is>
          <t>Porcentaje o índice: un valor parcial queda «En seguimiento» [CP].</t>
        </is>
      </c>
      <c r="M143" s="8" t="inlineStr">
        <is>
          <t>Puntual</t>
        </is>
      </c>
      <c r="N143" s="8" t="inlineStr">
        <is>
          <t>Razón al esperado</t>
        </is>
      </c>
      <c r="O143" s="13">
        <f>IFERROR(INDEX(Catalogo!$C$5:$C$129,MATCH(A143,Catalogo!$A$5:$A$129,0)),"")</f>
        <v/>
      </c>
    </row>
    <row r="144">
      <c r="A144" s="13" t="inlineStr">
        <is>
          <t>PEFM-AE.01.05-2</t>
        </is>
      </c>
      <c r="B144" s="8" t="n">
        <v>2024</v>
      </c>
      <c r="C144" s="8" t="n">
        <v>100</v>
      </c>
      <c r="D144" s="8" t="inlineStr">
        <is>
          <t>Mayor es mejor</t>
        </is>
      </c>
      <c r="E144" s="8" t="inlineStr">
        <is>
          <t>%</t>
        </is>
      </c>
      <c r="F144" s="8" t="inlineStr">
        <is>
          <t>PE - INDICADORES FM. 1.xlsx, hoja 'PE MEDICION 2024 - 2025-I', fila 17, columna LOGRO ESPERADO 2024</t>
        </is>
      </c>
      <c r="G144" s="8" t="inlineStr">
        <is>
          <t>Con fuente</t>
        </is>
      </c>
      <c r="H144" s="8" t="n"/>
      <c r="I144" s="8" t="n"/>
      <c r="J144" s="8" t="inlineStr">
        <is>
          <t>cumplimiento</t>
        </is>
      </c>
      <c r="K144" s="8" t="n"/>
      <c r="L144" s="8" t="inlineStr">
        <is>
          <t>Porcentaje o índice: un valor parcial queda «En seguimiento» [CP].</t>
        </is>
      </c>
      <c r="M144" s="8" t="inlineStr">
        <is>
          <t>Puntual</t>
        </is>
      </c>
      <c r="N144" s="8" t="inlineStr">
        <is>
          <t>Razón al esperado</t>
        </is>
      </c>
      <c r="O144" s="13">
        <f>IFERROR(INDEX(Catalogo!$C$5:$C$129,MATCH(A144,Catalogo!$A$5:$A$129,0)),"")</f>
        <v/>
      </c>
    </row>
    <row r="145">
      <c r="A145" s="13" t="inlineStr">
        <is>
          <t>PEFM-AE.01.05-2</t>
        </is>
      </c>
      <c r="B145" s="8" t="n">
        <v>2025</v>
      </c>
      <c r="C145" s="8" t="n">
        <v>100</v>
      </c>
      <c r="D145" s="8" t="inlineStr">
        <is>
          <t>Mayor es mejor</t>
        </is>
      </c>
      <c r="E145" s="8" t="inlineStr">
        <is>
          <t>%</t>
        </is>
      </c>
      <c r="F145" s="8" t="inlineStr">
        <is>
          <t>PE - INDICADORES FM. 1.xlsx, hoja 'PE MEDICION 2024 - 2025-I', fila 17, columna LOGRO ESPERADO 2025</t>
        </is>
      </c>
      <c r="G145" s="8" t="inlineStr">
        <is>
          <t>Con fuente</t>
        </is>
      </c>
      <c r="H145" s="8" t="n"/>
      <c r="I145" s="8" t="n"/>
      <c r="J145" s="8" t="inlineStr">
        <is>
          <t>cumplimiento</t>
        </is>
      </c>
      <c r="K145" s="8" t="n"/>
      <c r="L145" s="8" t="inlineStr">
        <is>
          <t>Porcentaje o índice: un valor parcial queda «En seguimiento» [CP].</t>
        </is>
      </c>
      <c r="M145" s="8" t="inlineStr">
        <is>
          <t>Puntual</t>
        </is>
      </c>
      <c r="N145" s="8" t="inlineStr">
        <is>
          <t>Razón al esperado</t>
        </is>
      </c>
      <c r="O145" s="13">
        <f>IFERROR(INDEX(Catalogo!$C$5:$C$129,MATCH(A145,Catalogo!$A$5:$A$129,0)),"")</f>
        <v/>
      </c>
    </row>
    <row r="146">
      <c r="A146" s="13" t="inlineStr">
        <is>
          <t>PEFM-AE.01.06-1</t>
        </is>
      </c>
      <c r="B146" s="8" t="n">
        <v>2024</v>
      </c>
      <c r="C146" s="8" t="n">
        <v>2.65</v>
      </c>
      <c r="D146" s="8" t="inlineStr">
        <is>
          <t>Mayor es mejor</t>
        </is>
      </c>
      <c r="E146" s="8" t="inlineStr">
        <is>
          <t>número</t>
        </is>
      </c>
      <c r="F146" s="8" t="inlineStr">
        <is>
          <t>PE - INDICADORES FM. 1.xlsx, hoja 'PE MEDICION 2024 - 2025-I', fila 18, columna LOGRO ESPERADO 2024</t>
        </is>
      </c>
      <c r="G146" s="8" t="inlineStr">
        <is>
          <t>Con fuente</t>
        </is>
      </c>
      <c r="H146" s="8" t="n"/>
      <c r="I146" s="8" t="n"/>
      <c r="J146" s="8" t="inlineStr">
        <is>
          <t>cumplimiento</t>
        </is>
      </c>
      <c r="K146" s="8" t="n"/>
      <c r="L146" s="8" t="inlineStr">
        <is>
          <t>Se acumula en el año: se compara con lo esperado a la fecha de corte [CP].</t>
        </is>
      </c>
      <c r="M146" s="8" t="inlineStr">
        <is>
          <t>Acumulado en el año</t>
        </is>
      </c>
      <c r="N146" s="8" t="inlineStr">
        <is>
          <t>Razón al esperado</t>
        </is>
      </c>
      <c r="O146" s="13">
        <f>IFERROR(INDEX(Catalogo!$C$5:$C$129,MATCH(A146,Catalogo!$A$5:$A$129,0)),"")</f>
        <v/>
      </c>
    </row>
    <row r="147">
      <c r="A147" s="13" t="inlineStr">
        <is>
          <t>PEFM-AE.01.06-1</t>
        </is>
      </c>
      <c r="B147" s="8" t="n">
        <v>2025</v>
      </c>
      <c r="C147" s="8" t="n">
        <v>3.02</v>
      </c>
      <c r="D147" s="8" t="inlineStr">
        <is>
          <t>Mayor es mejor</t>
        </is>
      </c>
      <c r="E147" s="8" t="inlineStr">
        <is>
          <t>número</t>
        </is>
      </c>
      <c r="F147" s="8" t="inlineStr">
        <is>
          <t>PE - INDICADORES FM. 1.xlsx, hoja 'PE MEDICION 2024 - 2025-I', fila 18, columna LOGRO ESPERADO 2025</t>
        </is>
      </c>
      <c r="G147" s="8" t="inlineStr">
        <is>
          <t>Con fuente</t>
        </is>
      </c>
      <c r="H147" s="8" t="n"/>
      <c r="I147" s="8" t="n"/>
      <c r="J147" s="8" t="inlineStr">
        <is>
          <t>cumplimiento</t>
        </is>
      </c>
      <c r="K147" s="8" t="n"/>
      <c r="L147" s="8" t="inlineStr">
        <is>
          <t>Se acumula en el año: se compara con lo esperado a la fecha de corte [CP].</t>
        </is>
      </c>
      <c r="M147" s="8" t="inlineStr">
        <is>
          <t>Acumulado en el año</t>
        </is>
      </c>
      <c r="N147" s="8" t="inlineStr">
        <is>
          <t>Razón al esperado</t>
        </is>
      </c>
      <c r="O147" s="13">
        <f>IFERROR(INDEX(Catalogo!$C$5:$C$129,MATCH(A147,Catalogo!$A$5:$A$129,0)),"")</f>
        <v/>
      </c>
    </row>
    <row r="148">
      <c r="A148" s="13" t="inlineStr">
        <is>
          <t>PEFM-AE.01.06-1</t>
        </is>
      </c>
      <c r="B148" s="8" t="n">
        <v>2026</v>
      </c>
      <c r="C148" s="8" t="n">
        <v>3.38</v>
      </c>
      <c r="D148" s="8" t="inlineStr">
        <is>
          <t>Mayor es mejor</t>
        </is>
      </c>
      <c r="E148" s="8" t="inlineStr">
        <is>
          <t>número</t>
        </is>
      </c>
      <c r="F148" s="8" t="inlineStr">
        <is>
          <t>PE FM 2024-2027 [A11], matriz p. 17, código AE.01.06-1</t>
        </is>
      </c>
      <c r="G148" s="8" t="inlineStr">
        <is>
          <t>Con fuente</t>
        </is>
      </c>
      <c r="H148" s="8" t="n"/>
      <c r="I148" s="8" t="n"/>
      <c r="J148" s="8" t="inlineStr">
        <is>
          <t>cumplimiento</t>
        </is>
      </c>
      <c r="K148" s="8" t="n"/>
      <c r="L148" s="8" t="inlineStr">
        <is>
          <t>Se acumula en el año: se compara con lo esperado a la fecha de corte [CP].</t>
        </is>
      </c>
      <c r="M148" s="8" t="inlineStr">
        <is>
          <t>Acumulado en el año</t>
        </is>
      </c>
      <c r="N148" s="8" t="inlineStr">
        <is>
          <t>Razón al esperado</t>
        </is>
      </c>
      <c r="O148" s="13">
        <f>IFERROR(INDEX(Catalogo!$C$5:$C$129,MATCH(A148,Catalogo!$A$5:$A$129,0)),"")</f>
        <v/>
      </c>
    </row>
    <row r="149">
      <c r="A149" s="13" t="inlineStr">
        <is>
          <t>PEFM-AE.01.06-1</t>
        </is>
      </c>
      <c r="B149" s="8" t="n">
        <v>2027</v>
      </c>
      <c r="C149" s="8" t="n">
        <v>3.62</v>
      </c>
      <c r="D149" s="8" t="inlineStr">
        <is>
          <t>Mayor es mejor</t>
        </is>
      </c>
      <c r="E149" s="8" t="inlineStr">
        <is>
          <t>número</t>
        </is>
      </c>
      <c r="F149" s="8" t="inlineStr">
        <is>
          <t>PE FM 2024-2027 [A11], matriz p. 17, código AE.01.06-1</t>
        </is>
      </c>
      <c r="G149" s="8" t="inlineStr">
        <is>
          <t>Con fuente</t>
        </is>
      </c>
      <c r="H149" s="8" t="n"/>
      <c r="I149" s="8" t="n"/>
      <c r="J149" s="8" t="inlineStr">
        <is>
          <t>cumplimiento</t>
        </is>
      </c>
      <c r="K149" s="8" t="n"/>
      <c r="L149" s="8" t="inlineStr">
        <is>
          <t>Se acumula en el año: se compara con lo esperado a la fecha de corte [CP].</t>
        </is>
      </c>
      <c r="M149" s="8" t="inlineStr">
        <is>
          <t>Acumulado en el año</t>
        </is>
      </c>
      <c r="N149" s="8" t="inlineStr">
        <is>
          <t>Razón al esperado</t>
        </is>
      </c>
      <c r="O149" s="13">
        <f>IFERROR(INDEX(Catalogo!$C$5:$C$129,MATCH(A149,Catalogo!$A$5:$A$129,0)),"")</f>
        <v/>
      </c>
    </row>
    <row r="150">
      <c r="A150" s="13" t="inlineStr">
        <is>
          <t>PEFM-AE.01.06-2</t>
        </is>
      </c>
      <c r="B150" s="8" t="n">
        <v>2024</v>
      </c>
      <c r="C150" s="8" t="n">
        <v>6.97</v>
      </c>
      <c r="D150" s="8" t="inlineStr">
        <is>
          <t>Mayor es mejor</t>
        </is>
      </c>
      <c r="E150" s="8" t="inlineStr">
        <is>
          <t>número</t>
        </is>
      </c>
      <c r="F150" s="8" t="inlineStr">
        <is>
          <t>PE - INDICADORES FM. 1.xlsx, hoja 'PE MEDICION 2024 - 2025-I', fila 19, columna LOGRO ESPERADO 2024</t>
        </is>
      </c>
      <c r="G150" s="8" t="inlineStr">
        <is>
          <t>Con fuente</t>
        </is>
      </c>
      <c r="H150" s="8" t="n"/>
      <c r="I150" s="8" t="n"/>
      <c r="J150" s="8" t="inlineStr">
        <is>
          <t>cumplimiento</t>
        </is>
      </c>
      <c r="K150" s="8" t="n"/>
      <c r="L150" s="8" t="inlineStr">
        <is>
          <t>Se acumula en el año: se compara con lo esperado a la fecha de corte [CP].</t>
        </is>
      </c>
      <c r="M150" s="8" t="inlineStr">
        <is>
          <t>Acumulado en el año</t>
        </is>
      </c>
      <c r="N150" s="8" t="inlineStr">
        <is>
          <t>Razón al esperado</t>
        </is>
      </c>
      <c r="O150" s="13">
        <f>IFERROR(INDEX(Catalogo!$C$5:$C$129,MATCH(A150,Catalogo!$A$5:$A$129,0)),"")</f>
        <v/>
      </c>
    </row>
    <row r="151">
      <c r="A151" s="13" t="inlineStr">
        <is>
          <t>PEFM-AE.01.06-2</t>
        </is>
      </c>
      <c r="B151" s="8" t="n">
        <v>2025</v>
      </c>
      <c r="C151" s="8" t="n">
        <v>7</v>
      </c>
      <c r="D151" s="8" t="inlineStr">
        <is>
          <t>Mayor es mejor</t>
        </is>
      </c>
      <c r="E151" s="8" t="inlineStr">
        <is>
          <t>número</t>
        </is>
      </c>
      <c r="F151" s="8" t="inlineStr">
        <is>
          <t>PE - INDICADORES FM. 1.xlsx, hoja 'PE MEDICION 2024 - 2025-I', fila 19, columna LOGRO ESPERADO 2025</t>
        </is>
      </c>
      <c r="G151" s="8" t="inlineStr">
        <is>
          <t>Con fuente</t>
        </is>
      </c>
      <c r="H151" s="8" t="n"/>
      <c r="I151" s="8" t="n"/>
      <c r="J151" s="8" t="inlineStr">
        <is>
          <t>cumplimiento</t>
        </is>
      </c>
      <c r="K151" s="8" t="n"/>
      <c r="L151" s="8" t="inlineStr">
        <is>
          <t>Se acumula en el año: se compara con lo esperado a la fecha de corte [CP].</t>
        </is>
      </c>
      <c r="M151" s="8" t="inlineStr">
        <is>
          <t>Acumulado en el año</t>
        </is>
      </c>
      <c r="N151" s="8" t="inlineStr">
        <is>
          <t>Razón al esperado</t>
        </is>
      </c>
      <c r="O151" s="13">
        <f>IFERROR(INDEX(Catalogo!$C$5:$C$129,MATCH(A151,Catalogo!$A$5:$A$129,0)),"")</f>
        <v/>
      </c>
    </row>
    <row r="152">
      <c r="A152" s="13" t="inlineStr">
        <is>
          <t>PEFM-AE.01.06-2</t>
        </is>
      </c>
      <c r="B152" s="8" t="n">
        <v>2026</v>
      </c>
      <c r="C152" s="8" t="n">
        <v>7.03</v>
      </c>
      <c r="D152" s="8" t="inlineStr">
        <is>
          <t>Mayor es mejor</t>
        </is>
      </c>
      <c r="E152" s="8" t="inlineStr">
        <is>
          <t>número</t>
        </is>
      </c>
      <c r="F152" s="8" t="inlineStr">
        <is>
          <t>PE FM 2024-2027 [A11], matriz p. 17, código AE.01.06-2</t>
        </is>
      </c>
      <c r="G152" s="8" t="inlineStr">
        <is>
          <t>Con fuente</t>
        </is>
      </c>
      <c r="H152" s="8" t="n"/>
      <c r="I152" s="8" t="n"/>
      <c r="J152" s="8" t="inlineStr">
        <is>
          <t>cumplimiento</t>
        </is>
      </c>
      <c r="K152" s="8" t="n"/>
      <c r="L152" s="8" t="inlineStr">
        <is>
          <t>Se acumula en el año: se compara con lo esperado a la fecha de corte [CP].</t>
        </is>
      </c>
      <c r="M152" s="8" t="inlineStr">
        <is>
          <t>Acumulado en el año</t>
        </is>
      </c>
      <c r="N152" s="8" t="inlineStr">
        <is>
          <t>Razón al esperado</t>
        </is>
      </c>
      <c r="O152" s="13">
        <f>IFERROR(INDEX(Catalogo!$C$5:$C$129,MATCH(A152,Catalogo!$A$5:$A$129,0)),"")</f>
        <v/>
      </c>
    </row>
    <row r="153">
      <c r="A153" s="13" t="inlineStr">
        <is>
          <t>PEFM-AE.01.06-2</t>
        </is>
      </c>
      <c r="B153" s="8" t="n">
        <v>2027</v>
      </c>
      <c r="C153" s="8" t="n">
        <v>7.06</v>
      </c>
      <c r="D153" s="8" t="inlineStr">
        <is>
          <t>Mayor es mejor</t>
        </is>
      </c>
      <c r="E153" s="8" t="inlineStr">
        <is>
          <t>número</t>
        </is>
      </c>
      <c r="F153" s="8" t="inlineStr">
        <is>
          <t>PE FM 2024-2027 [A11], matriz p. 17, código AE.01.06-2</t>
        </is>
      </c>
      <c r="G153" s="8" t="inlineStr">
        <is>
          <t>Con fuente</t>
        </is>
      </c>
      <c r="H153" s="8" t="n"/>
      <c r="I153" s="8" t="n"/>
      <c r="J153" s="8" t="inlineStr">
        <is>
          <t>cumplimiento</t>
        </is>
      </c>
      <c r="K153" s="8" t="n"/>
      <c r="L153" s="8" t="inlineStr">
        <is>
          <t>Se acumula en el año: se compara con lo esperado a la fecha de corte [CP].</t>
        </is>
      </c>
      <c r="M153" s="8" t="inlineStr">
        <is>
          <t>Acumulado en el año</t>
        </is>
      </c>
      <c r="N153" s="8" t="inlineStr">
        <is>
          <t>Razón al esperado</t>
        </is>
      </c>
      <c r="O153" s="13">
        <f>IFERROR(INDEX(Catalogo!$C$5:$C$129,MATCH(A153,Catalogo!$A$5:$A$129,0)),"")</f>
        <v/>
      </c>
    </row>
    <row r="154">
      <c r="A154" s="13" t="inlineStr">
        <is>
          <t>PEFM-OE.02</t>
        </is>
      </c>
      <c r="B154" s="8" t="n">
        <v>2024</v>
      </c>
      <c r="C154" s="8" t="n">
        <v>100</v>
      </c>
      <c r="D154" s="8" t="inlineStr">
        <is>
          <t>Mayor es mejor</t>
        </is>
      </c>
      <c r="E154" s="8" t="inlineStr">
        <is>
          <t>%</t>
        </is>
      </c>
      <c r="F154" s="8" t="inlineStr">
        <is>
          <t>PE - INDICADORES FM. 1.xlsx, hoja 'PE MEDICION 2024 - 2025-I', fila 22, columna LOGRO ESPERADO 2024</t>
        </is>
      </c>
      <c r="G154" s="8" t="inlineStr">
        <is>
          <t>Con fuente</t>
        </is>
      </c>
      <c r="H154" s="8" t="n"/>
      <c r="I154" s="8" t="n"/>
      <c r="J154" s="8" t="inlineStr">
        <is>
          <t>cumplimiento</t>
        </is>
      </c>
      <c r="K154" s="8" t="n"/>
      <c r="L154" s="8" t="inlineStr">
        <is>
          <t>Porcentaje o índice: un valor parcial queda «En seguimiento» [CP].</t>
        </is>
      </c>
      <c r="M154" s="8" t="inlineStr">
        <is>
          <t>Puntual</t>
        </is>
      </c>
      <c r="N154" s="8" t="inlineStr">
        <is>
          <t>Razón al esperado</t>
        </is>
      </c>
      <c r="O154" s="13">
        <f>IFERROR(INDEX(Catalogo!$C$5:$C$129,MATCH(A154,Catalogo!$A$5:$A$129,0)),"")</f>
        <v/>
      </c>
    </row>
    <row r="155">
      <c r="A155" s="13" t="inlineStr">
        <is>
          <t>PEFM-OE.02</t>
        </is>
      </c>
      <c r="B155" s="8" t="n">
        <v>2025</v>
      </c>
      <c r="C155" s="8" t="n">
        <v>100</v>
      </c>
      <c r="D155" s="8" t="inlineStr">
        <is>
          <t>Mayor es mejor</t>
        </is>
      </c>
      <c r="E155" s="8" t="inlineStr">
        <is>
          <t>%</t>
        </is>
      </c>
      <c r="F155" s="8" t="inlineStr">
        <is>
          <t>PE - INDICADORES FM. 1.xlsx, hoja 'PE MEDICION 2024 - 2025-I', fila 22, columna LOGRO ESPERADO 2025</t>
        </is>
      </c>
      <c r="G155" s="8" t="inlineStr">
        <is>
          <t>Con fuente</t>
        </is>
      </c>
      <c r="H155" s="8" t="n"/>
      <c r="I155" s="8" t="n"/>
      <c r="J155" s="8" t="inlineStr">
        <is>
          <t>cumplimiento</t>
        </is>
      </c>
      <c r="K155" s="8" t="n"/>
      <c r="L155" s="8" t="inlineStr">
        <is>
          <t>Porcentaje o índice: un valor parcial queda «En seguimiento» [CP].</t>
        </is>
      </c>
      <c r="M155" s="8" t="inlineStr">
        <is>
          <t>Puntual</t>
        </is>
      </c>
      <c r="N155" s="8" t="inlineStr">
        <is>
          <t>Razón al esperado</t>
        </is>
      </c>
      <c r="O155" s="13">
        <f>IFERROR(INDEX(Catalogo!$C$5:$C$129,MATCH(A155,Catalogo!$A$5:$A$129,0)),"")</f>
        <v/>
      </c>
    </row>
    <row r="156">
      <c r="A156" s="13" t="inlineStr">
        <is>
          <t>PEFM-OE.02</t>
        </is>
      </c>
      <c r="B156" s="8" t="n">
        <v>2026</v>
      </c>
      <c r="C156" s="8" t="n">
        <v>100</v>
      </c>
      <c r="D156" s="8" t="inlineStr">
        <is>
          <t>Mayor es mejor</t>
        </is>
      </c>
      <c r="E156" s="8" t="inlineStr">
        <is>
          <t>%</t>
        </is>
      </c>
      <c r="F156" s="8" t="inlineStr">
        <is>
          <t>PE FM 2024-2027 [A11], matriz p. 18, código OE.02</t>
        </is>
      </c>
      <c r="G156" s="8" t="inlineStr">
        <is>
          <t>Con fuente</t>
        </is>
      </c>
      <c r="H156" s="8" t="n"/>
      <c r="I156" s="8" t="n"/>
      <c r="J156" s="8" t="inlineStr">
        <is>
          <t>cumplimiento</t>
        </is>
      </c>
      <c r="K156" s="8" t="n"/>
      <c r="L156" s="8" t="inlineStr">
        <is>
          <t>Porcentaje o índice: un valor parcial queda «En seguimiento» [CP].</t>
        </is>
      </c>
      <c r="M156" s="8" t="inlineStr">
        <is>
          <t>Puntual</t>
        </is>
      </c>
      <c r="N156" s="8" t="inlineStr">
        <is>
          <t>Razón al esperado</t>
        </is>
      </c>
      <c r="O156" s="13">
        <f>IFERROR(INDEX(Catalogo!$C$5:$C$129,MATCH(A156,Catalogo!$A$5:$A$129,0)),"")</f>
        <v/>
      </c>
    </row>
    <row r="157">
      <c r="A157" s="13" t="inlineStr">
        <is>
          <t>PEFM-OE.02</t>
        </is>
      </c>
      <c r="B157" s="8" t="n">
        <v>2027</v>
      </c>
      <c r="C157" s="8" t="n">
        <v>100</v>
      </c>
      <c r="D157" s="8" t="inlineStr">
        <is>
          <t>Mayor es mejor</t>
        </is>
      </c>
      <c r="E157" s="8" t="inlineStr">
        <is>
          <t>%</t>
        </is>
      </c>
      <c r="F157" s="8" t="inlineStr">
        <is>
          <t>PE FM 2024-2027 [A11], matriz p. 18, código OE.02</t>
        </is>
      </c>
      <c r="G157" s="8" t="inlineStr">
        <is>
          <t>Con fuente</t>
        </is>
      </c>
      <c r="H157" s="8" t="n"/>
      <c r="I157" s="8" t="n"/>
      <c r="J157" s="8" t="inlineStr">
        <is>
          <t>cumplimiento</t>
        </is>
      </c>
      <c r="K157" s="8" t="n"/>
      <c r="L157" s="8" t="inlineStr">
        <is>
          <t>Porcentaje o índice: un valor parcial queda «En seguimiento» [CP].</t>
        </is>
      </c>
      <c r="M157" s="8" t="inlineStr">
        <is>
          <t>Puntual</t>
        </is>
      </c>
      <c r="N157" s="8" t="inlineStr">
        <is>
          <t>Razón al esperado</t>
        </is>
      </c>
      <c r="O157" s="13">
        <f>IFERROR(INDEX(Catalogo!$C$5:$C$129,MATCH(A157,Catalogo!$A$5:$A$129,0)),"")</f>
        <v/>
      </c>
    </row>
    <row r="158">
      <c r="A158" s="13" t="inlineStr">
        <is>
          <t>PEFM-AE.02.01</t>
        </is>
      </c>
      <c r="B158" s="8" t="n">
        <v>2024</v>
      </c>
      <c r="C158" s="8" t="n">
        <v>250</v>
      </c>
      <c r="D158" s="8" t="inlineStr">
        <is>
          <t>Mayor es mejor</t>
        </is>
      </c>
      <c r="E158" s="8" t="inlineStr">
        <is>
          <t>número</t>
        </is>
      </c>
      <c r="F158" s="8" t="inlineStr">
        <is>
          <t>PE - INDICADORES FM. 1.xlsx, hoja 'PE MEDICION 2024 - 2025-I', fila 25, columna LOGRO ESPERADO 2024</t>
        </is>
      </c>
      <c r="G158" s="8" t="inlineStr">
        <is>
          <t>Con fuente</t>
        </is>
      </c>
      <c r="H158" s="8" t="n"/>
      <c r="I158" s="8" t="n"/>
      <c r="J158" s="8" t="inlineStr">
        <is>
          <t>cumplimiento</t>
        </is>
      </c>
      <c r="K158" s="8" t="n"/>
      <c r="L158" s="8" t="inlineStr">
        <is>
          <t>Se acumula en el año: se compara con lo esperado a la fecha de corte [CP].</t>
        </is>
      </c>
      <c r="M158" s="8" t="inlineStr">
        <is>
          <t>Acumulado en el año</t>
        </is>
      </c>
      <c r="N158" s="8" t="inlineStr">
        <is>
          <t>Razón al esperado</t>
        </is>
      </c>
      <c r="O158" s="13">
        <f>IFERROR(INDEX(Catalogo!$C$5:$C$129,MATCH(A158,Catalogo!$A$5:$A$129,0)),"")</f>
        <v/>
      </c>
    </row>
    <row r="159">
      <c r="A159" s="13" t="inlineStr">
        <is>
          <t>PEFM-AE.02.01</t>
        </is>
      </c>
      <c r="B159" s="8" t="n">
        <v>2025</v>
      </c>
      <c r="C159" s="8" t="n">
        <v>250</v>
      </c>
      <c r="D159" s="8" t="inlineStr">
        <is>
          <t>Mayor es mejor</t>
        </is>
      </c>
      <c r="E159" s="8" t="inlineStr">
        <is>
          <t>número</t>
        </is>
      </c>
      <c r="F159" s="8" t="inlineStr">
        <is>
          <t>PE - INDICADORES FM. 1.xlsx, hoja 'PE MEDICION 2024 - 2025-I', fila 25, columna LOGRO ESPERADO 2025</t>
        </is>
      </c>
      <c r="G159" s="8" t="inlineStr">
        <is>
          <t>Con fuente</t>
        </is>
      </c>
      <c r="H159" s="8" t="n"/>
      <c r="I159" s="8" t="n"/>
      <c r="J159" s="8" t="inlineStr">
        <is>
          <t>cumplimiento</t>
        </is>
      </c>
      <c r="K159" s="8" t="n"/>
      <c r="L159" s="8" t="inlineStr">
        <is>
          <t>Se acumula en el año: se compara con lo esperado a la fecha de corte [CP].</t>
        </is>
      </c>
      <c r="M159" s="8" t="inlineStr">
        <is>
          <t>Acumulado en el año</t>
        </is>
      </c>
      <c r="N159" s="8" t="inlineStr">
        <is>
          <t>Razón al esperado</t>
        </is>
      </c>
      <c r="O159" s="13">
        <f>IFERROR(INDEX(Catalogo!$C$5:$C$129,MATCH(A159,Catalogo!$A$5:$A$129,0)),"")</f>
        <v/>
      </c>
    </row>
    <row r="160">
      <c r="A160" s="13" t="inlineStr">
        <is>
          <t>PEFM-AE.02.01</t>
        </is>
      </c>
      <c r="B160" s="8" t="n">
        <v>2026</v>
      </c>
      <c r="C160" s="8" t="n">
        <v>300</v>
      </c>
      <c r="D160" s="8" t="inlineStr">
        <is>
          <t>Mayor es mejor</t>
        </is>
      </c>
      <c r="E160" s="8" t="inlineStr">
        <is>
          <t>número</t>
        </is>
      </c>
      <c r="F160" s="8" t="inlineStr">
        <is>
          <t>PE FM 2024-2027 [A11], matriz p. 18, código AE.02.01</t>
        </is>
      </c>
      <c r="G160" s="8" t="inlineStr">
        <is>
          <t>Con fuente</t>
        </is>
      </c>
      <c r="H160" s="8" t="n"/>
      <c r="I160" s="8" t="n"/>
      <c r="J160" s="8" t="inlineStr">
        <is>
          <t>cumplimiento</t>
        </is>
      </c>
      <c r="K160" s="8" t="n"/>
      <c r="L160" s="8" t="inlineStr">
        <is>
          <t>Se acumula en el año: se compara con lo esperado a la fecha de corte [CP].</t>
        </is>
      </c>
      <c r="M160" s="8" t="inlineStr">
        <is>
          <t>Acumulado en el año</t>
        </is>
      </c>
      <c r="N160" s="8" t="inlineStr">
        <is>
          <t>Razón al esperado</t>
        </is>
      </c>
      <c r="O160" s="13">
        <f>IFERROR(INDEX(Catalogo!$C$5:$C$129,MATCH(A160,Catalogo!$A$5:$A$129,0)),"")</f>
        <v/>
      </c>
    </row>
    <row r="161">
      <c r="A161" s="13" t="inlineStr">
        <is>
          <t>PEFM-AE.02.01</t>
        </is>
      </c>
      <c r="B161" s="8" t="n">
        <v>2027</v>
      </c>
      <c r="C161" s="8" t="n">
        <v>300</v>
      </c>
      <c r="D161" s="8" t="inlineStr">
        <is>
          <t>Mayor es mejor</t>
        </is>
      </c>
      <c r="E161" s="8" t="inlineStr">
        <is>
          <t>número</t>
        </is>
      </c>
      <c r="F161" s="8" t="inlineStr">
        <is>
          <t>PE FM 2024-2027 [A11], matriz p. 18, código AE.02.01</t>
        </is>
      </c>
      <c r="G161" s="8" t="inlineStr">
        <is>
          <t>Con fuente</t>
        </is>
      </c>
      <c r="H161" s="8" t="n"/>
      <c r="I161" s="8" t="n"/>
      <c r="J161" s="8" t="inlineStr">
        <is>
          <t>cumplimiento</t>
        </is>
      </c>
      <c r="K161" s="8" t="n"/>
      <c r="L161" s="8" t="inlineStr">
        <is>
          <t>Se acumula en el año: se compara con lo esperado a la fecha de corte [CP].</t>
        </is>
      </c>
      <c r="M161" s="8" t="inlineStr">
        <is>
          <t>Acumulado en el año</t>
        </is>
      </c>
      <c r="N161" s="8" t="inlineStr">
        <is>
          <t>Razón al esperado</t>
        </is>
      </c>
      <c r="O161" s="13">
        <f>IFERROR(INDEX(Catalogo!$C$5:$C$129,MATCH(A161,Catalogo!$A$5:$A$129,0)),"")</f>
        <v/>
      </c>
    </row>
    <row r="162">
      <c r="A162" s="13" t="inlineStr">
        <is>
          <t>PEFM-AE.02.02</t>
        </is>
      </c>
      <c r="B162" s="8" t="n">
        <v>2024</v>
      </c>
      <c r="C162" s="8" t="n">
        <v>40</v>
      </c>
      <c r="D162" s="8" t="inlineStr">
        <is>
          <t>Mayor es mejor</t>
        </is>
      </c>
      <c r="E162" s="8" t="inlineStr">
        <is>
          <t>número</t>
        </is>
      </c>
      <c r="F162" s="8" t="inlineStr">
        <is>
          <t>PE - INDICADORES FM. 1.xlsx, hoja 'PE MEDICION 2024 - 2025-I', fila 26, columna LOGRO ESPERADO 2024</t>
        </is>
      </c>
      <c r="G162" s="8" t="inlineStr">
        <is>
          <t>Con fuente</t>
        </is>
      </c>
      <c r="H162" s="8" t="n"/>
      <c r="I162" s="8" t="n"/>
      <c r="J162" s="8" t="inlineStr">
        <is>
          <t>cumplimiento</t>
        </is>
      </c>
      <c r="K162" s="8" t="n"/>
      <c r="L162" s="8" t="inlineStr">
        <is>
          <t>Se acumula en el año: se compara con lo esperado a la fecha de corte [CP].</t>
        </is>
      </c>
      <c r="M162" s="8" t="inlineStr">
        <is>
          <t>Acumulado en el año</t>
        </is>
      </c>
      <c r="N162" s="8" t="inlineStr">
        <is>
          <t>Razón al esperado</t>
        </is>
      </c>
      <c r="O162" s="13">
        <f>IFERROR(INDEX(Catalogo!$C$5:$C$129,MATCH(A162,Catalogo!$A$5:$A$129,0)),"")</f>
        <v/>
      </c>
    </row>
    <row r="163">
      <c r="A163" s="13" t="inlineStr">
        <is>
          <t>PEFM-AE.02.02</t>
        </is>
      </c>
      <c r="B163" s="8" t="n">
        <v>2025</v>
      </c>
      <c r="C163" s="8" t="n">
        <v>40</v>
      </c>
      <c r="D163" s="8" t="inlineStr">
        <is>
          <t>Mayor es mejor</t>
        </is>
      </c>
      <c r="E163" s="8" t="inlineStr">
        <is>
          <t>número</t>
        </is>
      </c>
      <c r="F163" s="8" t="inlineStr">
        <is>
          <t>PE - INDICADORES FM. 1.xlsx, hoja 'PE MEDICION 2024 - 2025-I', fila 26, columna LOGRO ESPERADO 2025</t>
        </is>
      </c>
      <c r="G163" s="8" t="inlineStr">
        <is>
          <t>Con fuente</t>
        </is>
      </c>
      <c r="H163" s="8" t="n"/>
      <c r="I163" s="8" t="n"/>
      <c r="J163" s="8" t="inlineStr">
        <is>
          <t>cumplimiento</t>
        </is>
      </c>
      <c r="K163" s="8" t="n"/>
      <c r="L163" s="8" t="inlineStr">
        <is>
          <t>Se acumula en el año: se compara con lo esperado a la fecha de corte [CP].</t>
        </is>
      </c>
      <c r="M163" s="8" t="inlineStr">
        <is>
          <t>Acumulado en el año</t>
        </is>
      </c>
      <c r="N163" s="8" t="inlineStr">
        <is>
          <t>Razón al esperado</t>
        </is>
      </c>
      <c r="O163" s="13">
        <f>IFERROR(INDEX(Catalogo!$C$5:$C$129,MATCH(A163,Catalogo!$A$5:$A$129,0)),"")</f>
        <v/>
      </c>
    </row>
    <row r="164">
      <c r="A164" s="13" t="inlineStr">
        <is>
          <t>PEFM-AE.02.02</t>
        </is>
      </c>
      <c r="B164" s="8" t="n">
        <v>2026</v>
      </c>
      <c r="C164" s="8" t="n">
        <v>43</v>
      </c>
      <c r="D164" s="8" t="inlineStr">
        <is>
          <t>Mayor es mejor</t>
        </is>
      </c>
      <c r="E164" s="8" t="inlineStr">
        <is>
          <t>número</t>
        </is>
      </c>
      <c r="F164" s="8" t="inlineStr">
        <is>
          <t>PE FM 2024-2027 [A11], matriz p. 18, código AE.02.02</t>
        </is>
      </c>
      <c r="G164" s="8" t="inlineStr">
        <is>
          <t>Con fuente</t>
        </is>
      </c>
      <c r="H164" s="8" t="n"/>
      <c r="I164" s="8" t="n"/>
      <c r="J164" s="8" t="inlineStr">
        <is>
          <t>cumplimiento</t>
        </is>
      </c>
      <c r="K164" s="8" t="n"/>
      <c r="L164" s="8" t="inlineStr">
        <is>
          <t>Se acumula en el año: se compara con lo esperado a la fecha de corte [CP].</t>
        </is>
      </c>
      <c r="M164" s="8" t="inlineStr">
        <is>
          <t>Acumulado en el año</t>
        </is>
      </c>
      <c r="N164" s="8" t="inlineStr">
        <is>
          <t>Razón al esperado</t>
        </is>
      </c>
      <c r="O164" s="13">
        <f>IFERROR(INDEX(Catalogo!$C$5:$C$129,MATCH(A164,Catalogo!$A$5:$A$129,0)),"")</f>
        <v/>
      </c>
    </row>
    <row r="165">
      <c r="A165" s="13" t="inlineStr">
        <is>
          <t>PEFM-AE.02.02</t>
        </is>
      </c>
      <c r="B165" s="8" t="n">
        <v>2027</v>
      </c>
      <c r="C165" s="8" t="n">
        <v>43</v>
      </c>
      <c r="D165" s="8" t="inlineStr">
        <is>
          <t>Mayor es mejor</t>
        </is>
      </c>
      <c r="E165" s="8" t="inlineStr">
        <is>
          <t>número</t>
        </is>
      </c>
      <c r="F165" s="8" t="inlineStr">
        <is>
          <t>PE FM 2024-2027 [A11], matriz p. 18, código AE.02.02</t>
        </is>
      </c>
      <c r="G165" s="8" t="inlineStr">
        <is>
          <t>Con fuente</t>
        </is>
      </c>
      <c r="H165" s="8" t="n"/>
      <c r="I165" s="8" t="n"/>
      <c r="J165" s="8" t="inlineStr">
        <is>
          <t>cumplimiento</t>
        </is>
      </c>
      <c r="K165" s="8" t="n"/>
      <c r="L165" s="8" t="inlineStr">
        <is>
          <t>Se acumula en el año: se compara con lo esperado a la fecha de corte [CP].</t>
        </is>
      </c>
      <c r="M165" s="8" t="inlineStr">
        <is>
          <t>Acumulado en el año</t>
        </is>
      </c>
      <c r="N165" s="8" t="inlineStr">
        <is>
          <t>Razón al esperado</t>
        </is>
      </c>
      <c r="O165" s="13">
        <f>IFERROR(INDEX(Catalogo!$C$5:$C$129,MATCH(A165,Catalogo!$A$5:$A$129,0)),"")</f>
        <v/>
      </c>
    </row>
    <row r="166">
      <c r="A166" s="13" t="inlineStr">
        <is>
          <t>PEFM-AE.02.03-1</t>
        </is>
      </c>
      <c r="B166" s="8" t="n">
        <v>2024</v>
      </c>
      <c r="C166" s="8" t="n">
        <v>8</v>
      </c>
      <c r="D166" s="8" t="inlineStr">
        <is>
          <t>Mayor es mejor</t>
        </is>
      </c>
      <c r="E166" s="8" t="inlineStr">
        <is>
          <t>número</t>
        </is>
      </c>
      <c r="F166" s="8" t="inlineStr">
        <is>
          <t>PE - INDICADORES FM. 1.xlsx, hoja 'PE MEDICION 2024 - 2025-I', fila 27, columna LOGRO ESPERADO 2024</t>
        </is>
      </c>
      <c r="G166" s="8" t="inlineStr">
        <is>
          <t>Con fuente</t>
        </is>
      </c>
      <c r="H166" s="8" t="n"/>
      <c r="I166" s="8" t="n"/>
      <c r="J166" s="8" t="inlineStr">
        <is>
          <t>cumplimiento</t>
        </is>
      </c>
      <c r="K166" s="8" t="n"/>
      <c r="L166" s="8" t="inlineStr">
        <is>
          <t>Se acumula en el año: se compara con lo esperado a la fecha de corte [CP].</t>
        </is>
      </c>
      <c r="M166" s="8" t="inlineStr">
        <is>
          <t>Acumulado en el año</t>
        </is>
      </c>
      <c r="N166" s="8" t="inlineStr">
        <is>
          <t>Razón al esperado</t>
        </is>
      </c>
      <c r="O166" s="13">
        <f>IFERROR(INDEX(Catalogo!$C$5:$C$129,MATCH(A166,Catalogo!$A$5:$A$129,0)),"")</f>
        <v/>
      </c>
    </row>
    <row r="167">
      <c r="A167" s="13" t="inlineStr">
        <is>
          <t>PEFM-AE.02.03-1</t>
        </is>
      </c>
      <c r="B167" s="8" t="n">
        <v>2025</v>
      </c>
      <c r="C167" s="8" t="n">
        <v>11</v>
      </c>
      <c r="D167" s="8" t="inlineStr">
        <is>
          <t>Mayor es mejor</t>
        </is>
      </c>
      <c r="E167" s="8" t="inlineStr">
        <is>
          <t>número</t>
        </is>
      </c>
      <c r="F167" s="8" t="inlineStr">
        <is>
          <t>PE - INDICADORES FM. 1.xlsx, hoja 'PE MEDICION 2024 - 2025-I', fila 27, columna LOGRO ESPERADO 2025</t>
        </is>
      </c>
      <c r="G167" s="8" t="inlineStr">
        <is>
          <t>Con fuente</t>
        </is>
      </c>
      <c r="H167" s="8" t="n"/>
      <c r="I167" s="8" t="n"/>
      <c r="J167" s="8" t="inlineStr">
        <is>
          <t>cumplimiento</t>
        </is>
      </c>
      <c r="K167" s="8" t="n"/>
      <c r="L167" s="8" t="inlineStr">
        <is>
          <t>Se acumula en el año: se compara con lo esperado a la fecha de corte [CP].</t>
        </is>
      </c>
      <c r="M167" s="8" t="inlineStr">
        <is>
          <t>Acumulado en el año</t>
        </is>
      </c>
      <c r="N167" s="8" t="inlineStr">
        <is>
          <t>Razón al esperado</t>
        </is>
      </c>
      <c r="O167" s="13">
        <f>IFERROR(INDEX(Catalogo!$C$5:$C$129,MATCH(A167,Catalogo!$A$5:$A$129,0)),"")</f>
        <v/>
      </c>
    </row>
    <row r="168">
      <c r="A168" s="13" t="inlineStr">
        <is>
          <t>PEFM-AE.02.03-1</t>
        </is>
      </c>
      <c r="B168" s="8" t="n">
        <v>2026</v>
      </c>
      <c r="C168" s="8" t="n">
        <v>14</v>
      </c>
      <c r="D168" s="8" t="inlineStr">
        <is>
          <t>Mayor es mejor</t>
        </is>
      </c>
      <c r="E168" s="8" t="inlineStr">
        <is>
          <t>número</t>
        </is>
      </c>
      <c r="F168" s="8" t="inlineStr">
        <is>
          <t>PE FM 2024-2027 [A11], matriz p. 19, código AE.02.03-1</t>
        </is>
      </c>
      <c r="G168" s="8" t="inlineStr">
        <is>
          <t>Con fuente</t>
        </is>
      </c>
      <c r="H168" s="8" t="n"/>
      <c r="I168" s="8" t="n"/>
      <c r="J168" s="8" t="inlineStr">
        <is>
          <t>cumplimiento</t>
        </is>
      </c>
      <c r="K168" s="8" t="n"/>
      <c r="L168" s="8" t="inlineStr">
        <is>
          <t>Se acumula en el año: se compara con lo esperado a la fecha de corte [CP].</t>
        </is>
      </c>
      <c r="M168" s="8" t="inlineStr">
        <is>
          <t>Acumulado en el año</t>
        </is>
      </c>
      <c r="N168" s="8" t="inlineStr">
        <is>
          <t>Razón al esperado</t>
        </is>
      </c>
      <c r="O168" s="13">
        <f>IFERROR(INDEX(Catalogo!$C$5:$C$129,MATCH(A168,Catalogo!$A$5:$A$129,0)),"")</f>
        <v/>
      </c>
    </row>
    <row r="169">
      <c r="A169" s="13" t="inlineStr">
        <is>
          <t>PEFM-AE.02.03-1</t>
        </is>
      </c>
      <c r="B169" s="8" t="n">
        <v>2027</v>
      </c>
      <c r="C169" s="8" t="n">
        <v>17</v>
      </c>
      <c r="D169" s="8" t="inlineStr">
        <is>
          <t>Mayor es mejor</t>
        </is>
      </c>
      <c r="E169" s="8" t="inlineStr">
        <is>
          <t>número</t>
        </is>
      </c>
      <c r="F169" s="8" t="inlineStr">
        <is>
          <t>PE FM 2024-2027 [A11], matriz p. 19, código AE.02.03-1</t>
        </is>
      </c>
      <c r="G169" s="8" t="inlineStr">
        <is>
          <t>Con fuente</t>
        </is>
      </c>
      <c r="H169" s="8" t="n"/>
      <c r="I169" s="8" t="n"/>
      <c r="J169" s="8" t="inlineStr">
        <is>
          <t>cumplimiento</t>
        </is>
      </c>
      <c r="K169" s="8" t="n"/>
      <c r="L169" s="8" t="inlineStr">
        <is>
          <t>Se acumula en el año: se compara con lo esperado a la fecha de corte [CP].</t>
        </is>
      </c>
      <c r="M169" s="8" t="inlineStr">
        <is>
          <t>Acumulado en el año</t>
        </is>
      </c>
      <c r="N169" s="8" t="inlineStr">
        <is>
          <t>Razón al esperado</t>
        </is>
      </c>
      <c r="O169" s="13">
        <f>IFERROR(INDEX(Catalogo!$C$5:$C$129,MATCH(A169,Catalogo!$A$5:$A$129,0)),"")</f>
        <v/>
      </c>
    </row>
    <row r="170">
      <c r="A170" s="13" t="inlineStr">
        <is>
          <t>PEFM-AE.02.03-2</t>
        </is>
      </c>
      <c r="B170" s="8" t="n">
        <v>2024</v>
      </c>
      <c r="C170" s="8" t="n">
        <v>18.27</v>
      </c>
      <c r="D170" s="8" t="inlineStr">
        <is>
          <t>Mayor es mejor</t>
        </is>
      </c>
      <c r="E170" s="8" t="inlineStr">
        <is>
          <t>número</t>
        </is>
      </c>
      <c r="F170" s="8" t="inlineStr">
        <is>
          <t>PE - INDICADORES FM. 1.xlsx, hoja 'PE MEDICION 2024 - 2025-I', fila 28, columna LOGRO ESPERADO 2024</t>
        </is>
      </c>
      <c r="G170" s="8" t="inlineStr">
        <is>
          <t>Con fuente</t>
        </is>
      </c>
      <c r="H170" s="8" t="n"/>
      <c r="I170" s="8" t="n"/>
      <c r="J170" s="8" t="inlineStr">
        <is>
          <t>cumplimiento</t>
        </is>
      </c>
      <c r="K170" s="8" t="n"/>
      <c r="L170" s="8" t="inlineStr">
        <is>
          <t>Se acumula en el año: se compara con lo esperado a la fecha de corte [CP].</t>
        </is>
      </c>
      <c r="M170" s="8" t="inlineStr">
        <is>
          <t>Acumulado en el año</t>
        </is>
      </c>
      <c r="N170" s="8" t="inlineStr">
        <is>
          <t>Razón al esperado</t>
        </is>
      </c>
      <c r="O170" s="13">
        <f>IFERROR(INDEX(Catalogo!$C$5:$C$129,MATCH(A170,Catalogo!$A$5:$A$129,0)),"")</f>
        <v/>
      </c>
    </row>
    <row r="171">
      <c r="A171" s="13" t="inlineStr">
        <is>
          <t>PEFM-AE.02.03-2</t>
        </is>
      </c>
      <c r="B171" s="8" t="n">
        <v>2025</v>
      </c>
      <c r="C171" s="8" t="n">
        <v>18.27</v>
      </c>
      <c r="D171" s="8" t="inlineStr">
        <is>
          <t>Mayor es mejor</t>
        </is>
      </c>
      <c r="E171" s="8" t="inlineStr">
        <is>
          <t>número</t>
        </is>
      </c>
      <c r="F171" s="8" t="inlineStr">
        <is>
          <t>PE - INDICADORES FM. 1.xlsx, hoja 'PE MEDICION 2024 - 2025-I', fila 28, columna LOGRO ESPERADO 2025</t>
        </is>
      </c>
      <c r="G171" s="8" t="inlineStr">
        <is>
          <t>Con fuente</t>
        </is>
      </c>
      <c r="H171" s="8" t="n"/>
      <c r="I171" s="8" t="n"/>
      <c r="J171" s="8" t="inlineStr">
        <is>
          <t>cumplimiento</t>
        </is>
      </c>
      <c r="K171" s="8" t="n"/>
      <c r="L171" s="8" t="inlineStr">
        <is>
          <t>Se acumula en el año: se compara con lo esperado a la fecha de corte [CP].</t>
        </is>
      </c>
      <c r="M171" s="8" t="inlineStr">
        <is>
          <t>Acumulado en el año</t>
        </is>
      </c>
      <c r="N171" s="8" t="inlineStr">
        <is>
          <t>Razón al esperado</t>
        </is>
      </c>
      <c r="O171" s="13">
        <f>IFERROR(INDEX(Catalogo!$C$5:$C$129,MATCH(A171,Catalogo!$A$5:$A$129,0)),"")</f>
        <v/>
      </c>
    </row>
    <row r="172">
      <c r="A172" s="13" t="inlineStr">
        <is>
          <t>PEFM-AE.02.03-2</t>
        </is>
      </c>
      <c r="B172" s="8" t="n">
        <v>2026</v>
      </c>
      <c r="C172" s="8" t="n">
        <v>21.93</v>
      </c>
      <c r="D172" s="8" t="inlineStr">
        <is>
          <t>Mayor es mejor</t>
        </is>
      </c>
      <c r="E172" s="8" t="inlineStr">
        <is>
          <t>número</t>
        </is>
      </c>
      <c r="F172" s="8" t="inlineStr">
        <is>
          <t>PE FM 2024-2027 [A11], matriz p. 19, código AE.02.03-2</t>
        </is>
      </c>
      <c r="G172" s="8" t="inlineStr">
        <is>
          <t>Con fuente</t>
        </is>
      </c>
      <c r="H172" s="8" t="n"/>
      <c r="I172" s="8" t="n"/>
      <c r="J172" s="8" t="inlineStr">
        <is>
          <t>cumplimiento</t>
        </is>
      </c>
      <c r="K172" s="8" t="n"/>
      <c r="L172" s="8" t="inlineStr">
        <is>
          <t>Se acumula en el año: se compara con lo esperado a la fecha de corte [CP].</t>
        </is>
      </c>
      <c r="M172" s="8" t="inlineStr">
        <is>
          <t>Acumulado en el año</t>
        </is>
      </c>
      <c r="N172" s="8" t="inlineStr">
        <is>
          <t>Razón al esperado</t>
        </is>
      </c>
      <c r="O172" s="13">
        <f>IFERROR(INDEX(Catalogo!$C$5:$C$129,MATCH(A172,Catalogo!$A$5:$A$129,0)),"")</f>
        <v/>
      </c>
    </row>
    <row r="173">
      <c r="A173" s="13" t="inlineStr">
        <is>
          <t>PEFM-AE.02.03-2</t>
        </is>
      </c>
      <c r="B173" s="8" t="n">
        <v>2027</v>
      </c>
      <c r="C173" s="8" t="n">
        <v>21.93</v>
      </c>
      <c r="D173" s="8" t="inlineStr">
        <is>
          <t>Mayor es mejor</t>
        </is>
      </c>
      <c r="E173" s="8" t="inlineStr">
        <is>
          <t>número</t>
        </is>
      </c>
      <c r="F173" s="8" t="inlineStr">
        <is>
          <t>PE FM 2024-2027 [A11], matriz p. 19, código AE.02.03-2</t>
        </is>
      </c>
      <c r="G173" s="8" t="inlineStr">
        <is>
          <t>Con fuente</t>
        </is>
      </c>
      <c r="H173" s="8" t="n"/>
      <c r="I173" s="8" t="n"/>
      <c r="J173" s="8" t="inlineStr">
        <is>
          <t>cumplimiento</t>
        </is>
      </c>
      <c r="K173" s="8" t="n"/>
      <c r="L173" s="8" t="inlineStr">
        <is>
          <t>Se acumula en el año: se compara con lo esperado a la fecha de corte [CP].</t>
        </is>
      </c>
      <c r="M173" s="8" t="inlineStr">
        <is>
          <t>Acumulado en el año</t>
        </is>
      </c>
      <c r="N173" s="8" t="inlineStr">
        <is>
          <t>Razón al esperado</t>
        </is>
      </c>
      <c r="O173" s="13">
        <f>IFERROR(INDEX(Catalogo!$C$5:$C$129,MATCH(A173,Catalogo!$A$5:$A$129,0)),"")</f>
        <v/>
      </c>
    </row>
    <row r="174">
      <c r="A174" s="13" t="inlineStr">
        <is>
          <t>PEFM-OE.03-1</t>
        </is>
      </c>
      <c r="B174" s="8" t="n">
        <v>2024</v>
      </c>
      <c r="C174" s="8" t="n">
        <v>1560</v>
      </c>
      <c r="D174" s="8" t="inlineStr">
        <is>
          <t>Mayor es mejor</t>
        </is>
      </c>
      <c r="E174" s="8" t="inlineStr">
        <is>
          <t>número</t>
        </is>
      </c>
      <c r="F174" s="8" t="inlineStr">
        <is>
          <t>PE - INDICADORES FM. 1.xlsx, hoja 'PE MEDICION 2024 - 2025-I', fila 31, columna LOGRO ESPERADO 2024</t>
        </is>
      </c>
      <c r="G174" s="8" t="inlineStr">
        <is>
          <t>Con fuente</t>
        </is>
      </c>
      <c r="H174" s="8" t="n"/>
      <c r="I174" s="8" t="n"/>
      <c r="J174" s="8" t="inlineStr">
        <is>
          <t>cumplimiento</t>
        </is>
      </c>
      <c r="K174" s="8" t="n"/>
      <c r="L174" s="8" t="inlineStr">
        <is>
          <t>Se acumula en el año: se compara con lo esperado a la fecha de corte [CP].</t>
        </is>
      </c>
      <c r="M174" s="8" t="inlineStr">
        <is>
          <t>Acumulado en el año</t>
        </is>
      </c>
      <c r="N174" s="8" t="inlineStr">
        <is>
          <t>Razón al esperado</t>
        </is>
      </c>
      <c r="O174" s="13">
        <f>IFERROR(INDEX(Catalogo!$C$5:$C$129,MATCH(A174,Catalogo!$A$5:$A$129,0)),"")</f>
        <v/>
      </c>
    </row>
    <row r="175">
      <c r="A175" s="13" t="inlineStr">
        <is>
          <t>PEFM-OE.03-1</t>
        </is>
      </c>
      <c r="B175" s="8" t="n">
        <v>2025</v>
      </c>
      <c r="C175" s="8" t="n">
        <v>1872</v>
      </c>
      <c r="D175" s="8" t="inlineStr">
        <is>
          <t>Mayor es mejor</t>
        </is>
      </c>
      <c r="E175" s="8" t="inlineStr">
        <is>
          <t>número</t>
        </is>
      </c>
      <c r="F175" s="8" t="inlineStr">
        <is>
          <t>PE - INDICADORES FM. 1.xlsx, hoja 'PE MEDICION 2024 - 2025-I', fila 31, columna LOGRO ESPERADO 2025</t>
        </is>
      </c>
      <c r="G175" s="8" t="inlineStr">
        <is>
          <t>Con fuente</t>
        </is>
      </c>
      <c r="H175" s="8" t="n"/>
      <c r="I175" s="8" t="n"/>
      <c r="J175" s="8" t="inlineStr">
        <is>
          <t>cumplimiento</t>
        </is>
      </c>
      <c r="K175" s="8" t="n"/>
      <c r="L175" s="8" t="inlineStr">
        <is>
          <t>Se acumula en el año: se compara con lo esperado a la fecha de corte [CP].</t>
        </is>
      </c>
      <c r="M175" s="8" t="inlineStr">
        <is>
          <t>Acumulado en el año</t>
        </is>
      </c>
      <c r="N175" s="8" t="inlineStr">
        <is>
          <t>Razón al esperado</t>
        </is>
      </c>
      <c r="O175" s="13">
        <f>IFERROR(INDEX(Catalogo!$C$5:$C$129,MATCH(A175,Catalogo!$A$5:$A$129,0)),"")</f>
        <v/>
      </c>
    </row>
    <row r="176">
      <c r="A176" s="13" t="inlineStr">
        <is>
          <t>PEFM-OE.03-1</t>
        </is>
      </c>
      <c r="B176" s="8" t="n">
        <v>2026</v>
      </c>
      <c r="C176" s="8" t="n">
        <v>2246</v>
      </c>
      <c r="D176" s="8" t="inlineStr">
        <is>
          <t>Mayor es mejor</t>
        </is>
      </c>
      <c r="E176" s="8" t="inlineStr">
        <is>
          <t>número</t>
        </is>
      </c>
      <c r="F176" s="8" t="inlineStr">
        <is>
          <t>PE FM 2024-2027 [A11], matriz p. 20, código OE.03-1</t>
        </is>
      </c>
      <c r="G176" s="8" t="inlineStr">
        <is>
          <t>Con fuente</t>
        </is>
      </c>
      <c r="H176" s="8" t="n"/>
      <c r="I176" s="8" t="n"/>
      <c r="J176" s="8" t="inlineStr">
        <is>
          <t>cumplimiento</t>
        </is>
      </c>
      <c r="K176" s="8" t="n"/>
      <c r="L176" s="8" t="inlineStr">
        <is>
          <t>Se acumula en el año: se compara con lo esperado a la fecha de corte [CP].</t>
        </is>
      </c>
      <c r="M176" s="8" t="inlineStr">
        <is>
          <t>Acumulado en el año</t>
        </is>
      </c>
      <c r="N176" s="8" t="inlineStr">
        <is>
          <t>Razón al esperado</t>
        </is>
      </c>
      <c r="O176" s="13">
        <f>IFERROR(INDEX(Catalogo!$C$5:$C$129,MATCH(A176,Catalogo!$A$5:$A$129,0)),"")</f>
        <v/>
      </c>
    </row>
    <row r="177">
      <c r="A177" s="13" t="inlineStr">
        <is>
          <t>PEFM-OE.03-1</t>
        </is>
      </c>
      <c r="B177" s="8" t="n">
        <v>2027</v>
      </c>
      <c r="C177" s="8" t="n">
        <v>2695</v>
      </c>
      <c r="D177" s="8" t="inlineStr">
        <is>
          <t>Mayor es mejor</t>
        </is>
      </c>
      <c r="E177" s="8" t="inlineStr">
        <is>
          <t>número</t>
        </is>
      </c>
      <c r="F177" s="8" t="inlineStr">
        <is>
          <t>PE FM 2024-2027 [A11], matriz p. 20, código OE.03-1</t>
        </is>
      </c>
      <c r="G177" s="8" t="inlineStr">
        <is>
          <t>Con fuente</t>
        </is>
      </c>
      <c r="H177" s="8" t="n"/>
      <c r="I177" s="8" t="n"/>
      <c r="J177" s="8" t="inlineStr">
        <is>
          <t>cumplimiento</t>
        </is>
      </c>
      <c r="K177" s="8" t="n"/>
      <c r="L177" s="8" t="inlineStr">
        <is>
          <t>Se acumula en el año: se compara con lo esperado a la fecha de corte [CP].</t>
        </is>
      </c>
      <c r="M177" s="8" t="inlineStr">
        <is>
          <t>Acumulado en el año</t>
        </is>
      </c>
      <c r="N177" s="8" t="inlineStr">
        <is>
          <t>Razón al esperado</t>
        </is>
      </c>
      <c r="O177" s="13">
        <f>IFERROR(INDEX(Catalogo!$C$5:$C$129,MATCH(A177,Catalogo!$A$5:$A$129,0)),"")</f>
        <v/>
      </c>
    </row>
    <row r="178">
      <c r="A178" s="13" t="inlineStr">
        <is>
          <t>PEFM-OE.03-2</t>
        </is>
      </c>
      <c r="B178" s="8" t="n">
        <v>2024</v>
      </c>
      <c r="C178" s="8" t="n">
        <v>3161</v>
      </c>
      <c r="D178" s="8" t="inlineStr">
        <is>
          <t>Mayor es mejor</t>
        </is>
      </c>
      <c r="E178" s="8" t="inlineStr">
        <is>
          <t>número</t>
        </is>
      </c>
      <c r="F178" s="8" t="inlineStr">
        <is>
          <t>PE - INDICADORES FM. 1.xlsx, hoja 'PE MEDICION 2024 - 2025-I', fila 32, columna LOGRO ESPERADO 2024</t>
        </is>
      </c>
      <c r="G178" s="8" t="inlineStr">
        <is>
          <t>Con fuente</t>
        </is>
      </c>
      <c r="H178" s="8" t="n"/>
      <c r="I178" s="8" t="n"/>
      <c r="J178" s="8" t="inlineStr">
        <is>
          <t>cumplimiento</t>
        </is>
      </c>
      <c r="K178" s="8" t="n"/>
      <c r="L178" s="8" t="inlineStr">
        <is>
          <t>Se acumula en el año: se compara con lo esperado a la fecha de corte [CP].</t>
        </is>
      </c>
      <c r="M178" s="8" t="inlineStr">
        <is>
          <t>Acumulado en el año</t>
        </is>
      </c>
      <c r="N178" s="8" t="inlineStr">
        <is>
          <t>Razón al esperado</t>
        </is>
      </c>
      <c r="O178" s="13">
        <f>IFERROR(INDEX(Catalogo!$C$5:$C$129,MATCH(A178,Catalogo!$A$5:$A$129,0)),"")</f>
        <v/>
      </c>
    </row>
    <row r="179">
      <c r="A179" s="13" t="inlineStr">
        <is>
          <t>PEFM-OE.03-2</t>
        </is>
      </c>
      <c r="B179" s="8" t="n">
        <v>2025</v>
      </c>
      <c r="C179" s="8" t="n">
        <v>3600</v>
      </c>
      <c r="D179" s="8" t="inlineStr">
        <is>
          <t>Mayor es mejor</t>
        </is>
      </c>
      <c r="E179" s="8" t="inlineStr">
        <is>
          <t>número</t>
        </is>
      </c>
      <c r="F179" s="8" t="inlineStr">
        <is>
          <t>PE - INDICADORES FM. 1.xlsx, hoja 'PE MEDICION 2024 - 2025-I', fila 32, columna LOGRO ESPERADO 2025</t>
        </is>
      </c>
      <c r="G179" s="8" t="inlineStr">
        <is>
          <t>Con fuente</t>
        </is>
      </c>
      <c r="H179" s="8" t="n"/>
      <c r="I179" s="8" t="n"/>
      <c r="J179" s="8" t="inlineStr">
        <is>
          <t>cumplimiento</t>
        </is>
      </c>
      <c r="K179" s="8" t="n"/>
      <c r="L179" s="8" t="inlineStr">
        <is>
          <t>Se acumula en el año: se compara con lo esperado a la fecha de corte [CP].</t>
        </is>
      </c>
      <c r="M179" s="8" t="inlineStr">
        <is>
          <t>Acumulado en el año</t>
        </is>
      </c>
      <c r="N179" s="8" t="inlineStr">
        <is>
          <t>Razón al esperado</t>
        </is>
      </c>
      <c r="O179" s="13">
        <f>IFERROR(INDEX(Catalogo!$C$5:$C$129,MATCH(A179,Catalogo!$A$5:$A$129,0)),"")</f>
        <v/>
      </c>
    </row>
    <row r="180">
      <c r="A180" s="13" t="inlineStr">
        <is>
          <t>PEFM-OE.03-2</t>
        </is>
      </c>
      <c r="B180" s="8" t="n">
        <v>2026</v>
      </c>
      <c r="C180" s="8" t="n">
        <v>4220</v>
      </c>
      <c r="D180" s="8" t="inlineStr">
        <is>
          <t>Mayor es mejor</t>
        </is>
      </c>
      <c r="E180" s="8" t="inlineStr">
        <is>
          <t>número</t>
        </is>
      </c>
      <c r="F180" s="8" t="inlineStr">
        <is>
          <t>PE FM 2024-2027 [A11], matriz p. 20, código OE.03-2</t>
        </is>
      </c>
      <c r="G180" s="8" t="inlineStr">
        <is>
          <t>Con fuente</t>
        </is>
      </c>
      <c r="H180" s="8" t="n"/>
      <c r="I180" s="8" t="n"/>
      <c r="J180" s="8" t="inlineStr">
        <is>
          <t>cumplimiento</t>
        </is>
      </c>
      <c r="K180" s="8" t="n"/>
      <c r="L180" s="8" t="inlineStr">
        <is>
          <t>Se acumula en el año: se compara con lo esperado a la fecha de corte [CP].</t>
        </is>
      </c>
      <c r="M180" s="8" t="inlineStr">
        <is>
          <t>Acumulado en el año</t>
        </is>
      </c>
      <c r="N180" s="8" t="inlineStr">
        <is>
          <t>Razón al esperado</t>
        </is>
      </c>
      <c r="O180" s="13">
        <f>IFERROR(INDEX(Catalogo!$C$5:$C$129,MATCH(A180,Catalogo!$A$5:$A$129,0)),"")</f>
        <v/>
      </c>
    </row>
    <row r="181">
      <c r="A181" s="13" t="inlineStr">
        <is>
          <t>PEFM-OE.03-2</t>
        </is>
      </c>
      <c r="B181" s="8" t="n">
        <v>2027</v>
      </c>
      <c r="C181" s="8" t="n">
        <v>5000</v>
      </c>
      <c r="D181" s="8" t="inlineStr">
        <is>
          <t>Mayor es mejor</t>
        </is>
      </c>
      <c r="E181" s="8" t="inlineStr">
        <is>
          <t>número</t>
        </is>
      </c>
      <c r="F181" s="8" t="inlineStr">
        <is>
          <t>PE FM 2024-2027 [A11], matriz p. 20, código OE.03-2</t>
        </is>
      </c>
      <c r="G181" s="8" t="inlineStr">
        <is>
          <t>Con fuente</t>
        </is>
      </c>
      <c r="H181" s="8" t="n"/>
      <c r="I181" s="8" t="n"/>
      <c r="J181" s="8" t="inlineStr">
        <is>
          <t>cumplimiento</t>
        </is>
      </c>
      <c r="K181" s="8" t="n"/>
      <c r="L181" s="8" t="inlineStr">
        <is>
          <t>Se acumula en el año: se compara con lo esperado a la fecha de corte [CP].</t>
        </is>
      </c>
      <c r="M181" s="8" t="inlineStr">
        <is>
          <t>Acumulado en el año</t>
        </is>
      </c>
      <c r="N181" s="8" t="inlineStr">
        <is>
          <t>Razón al esperado</t>
        </is>
      </c>
      <c r="O181" s="13">
        <f>IFERROR(INDEX(Catalogo!$C$5:$C$129,MATCH(A181,Catalogo!$A$5:$A$129,0)),"")</f>
        <v/>
      </c>
    </row>
    <row r="182">
      <c r="A182" s="13" t="inlineStr">
        <is>
          <t>PEFM-AE.03.01-1</t>
        </is>
      </c>
      <c r="B182" s="8" t="n">
        <v>2024</v>
      </c>
      <c r="C182" s="8" t="n">
        <v>5</v>
      </c>
      <c r="D182" s="8" t="inlineStr">
        <is>
          <t>Mayor es mejor</t>
        </is>
      </c>
      <c r="E182" s="8" t="inlineStr">
        <is>
          <t>número</t>
        </is>
      </c>
      <c r="F182" s="8" t="inlineStr">
        <is>
          <t>PE - INDICADORES FM. 1.xlsx, hoja 'PE MEDICION 2024 - 2025-I', fila 35, columna LOGRO ESPERADO 2024</t>
        </is>
      </c>
      <c r="G182" s="8" t="inlineStr">
        <is>
          <t>Con fuente</t>
        </is>
      </c>
      <c r="H182" s="8" t="n"/>
      <c r="I182" s="8" t="n"/>
      <c r="J182" s="8" t="inlineStr">
        <is>
          <t>cumplimiento</t>
        </is>
      </c>
      <c r="K182" s="8" t="n"/>
      <c r="L182" s="8" t="inlineStr">
        <is>
          <t>Se acumula en el año: se compara con lo esperado a la fecha de corte [CP].</t>
        </is>
      </c>
      <c r="M182" s="8" t="inlineStr">
        <is>
          <t>Acumulado en el año</t>
        </is>
      </c>
      <c r="N182" s="8" t="inlineStr">
        <is>
          <t>Razón al esperado</t>
        </is>
      </c>
      <c r="O182" s="13">
        <f>IFERROR(INDEX(Catalogo!$C$5:$C$129,MATCH(A182,Catalogo!$A$5:$A$129,0)),"")</f>
        <v/>
      </c>
    </row>
    <row r="183">
      <c r="A183" s="13" t="inlineStr">
        <is>
          <t>PEFM-AE.03.01-1</t>
        </is>
      </c>
      <c r="B183" s="8" t="n">
        <v>2025</v>
      </c>
      <c r="C183" s="8" t="n">
        <v>7</v>
      </c>
      <c r="D183" s="8" t="inlineStr">
        <is>
          <t>Mayor es mejor</t>
        </is>
      </c>
      <c r="E183" s="8" t="inlineStr">
        <is>
          <t>número</t>
        </is>
      </c>
      <c r="F183" s="8" t="inlineStr">
        <is>
          <t>PE - INDICADORES FM. 1.xlsx, hoja 'PE MEDICION 2024 - 2025-I', fila 35, columna LOGRO ESPERADO 2025</t>
        </is>
      </c>
      <c r="G183" s="8" t="inlineStr">
        <is>
          <t>Con fuente</t>
        </is>
      </c>
      <c r="H183" s="8" t="n"/>
      <c r="I183" s="8" t="n"/>
      <c r="J183" s="8" t="inlineStr">
        <is>
          <t>cumplimiento</t>
        </is>
      </c>
      <c r="K183" s="8" t="n"/>
      <c r="L183" s="8" t="inlineStr">
        <is>
          <t>Se acumula en el año: se compara con lo esperado a la fecha de corte [CP].</t>
        </is>
      </c>
      <c r="M183" s="8" t="inlineStr">
        <is>
          <t>Acumulado en el año</t>
        </is>
      </c>
      <c r="N183" s="8" t="inlineStr">
        <is>
          <t>Razón al esperado</t>
        </is>
      </c>
      <c r="O183" s="13">
        <f>IFERROR(INDEX(Catalogo!$C$5:$C$129,MATCH(A183,Catalogo!$A$5:$A$129,0)),"")</f>
        <v/>
      </c>
    </row>
    <row r="184">
      <c r="A184" s="13" t="inlineStr">
        <is>
          <t>PEFM-AE.03.01-1</t>
        </is>
      </c>
      <c r="B184" s="8" t="n">
        <v>2026</v>
      </c>
      <c r="C184" s="8" t="n">
        <v>9</v>
      </c>
      <c r="D184" s="8" t="inlineStr">
        <is>
          <t>Mayor es mejor</t>
        </is>
      </c>
      <c r="E184" s="8" t="inlineStr">
        <is>
          <t>número</t>
        </is>
      </c>
      <c r="F184" s="8" t="inlineStr">
        <is>
          <t>PE FM 2024-2027 [A11], matriz p. 20, código AE.03.01-1</t>
        </is>
      </c>
      <c r="G184" s="8" t="inlineStr">
        <is>
          <t>Con fuente</t>
        </is>
      </c>
      <c r="H184" s="8" t="n"/>
      <c r="I184" s="8" t="n"/>
      <c r="J184" s="8" t="inlineStr">
        <is>
          <t>cumplimiento</t>
        </is>
      </c>
      <c r="K184" s="8" t="n"/>
      <c r="L184" s="8" t="inlineStr">
        <is>
          <t>Se acumula en el año: se compara con lo esperado a la fecha de corte [CP].</t>
        </is>
      </c>
      <c r="M184" s="8" t="inlineStr">
        <is>
          <t>Acumulado en el año</t>
        </is>
      </c>
      <c r="N184" s="8" t="inlineStr">
        <is>
          <t>Razón al esperado</t>
        </is>
      </c>
      <c r="O184" s="13">
        <f>IFERROR(INDEX(Catalogo!$C$5:$C$129,MATCH(A184,Catalogo!$A$5:$A$129,0)),"")</f>
        <v/>
      </c>
    </row>
    <row r="185">
      <c r="A185" s="13" t="inlineStr">
        <is>
          <t>PEFM-AE.03.01-1</t>
        </is>
      </c>
      <c r="B185" s="8" t="n">
        <v>2027</v>
      </c>
      <c r="C185" s="8" t="n">
        <v>11</v>
      </c>
      <c r="D185" s="8" t="inlineStr">
        <is>
          <t>Mayor es mejor</t>
        </is>
      </c>
      <c r="E185" s="8" t="inlineStr">
        <is>
          <t>número</t>
        </is>
      </c>
      <c r="F185" s="8" t="inlineStr">
        <is>
          <t>PE FM 2024-2027 [A11], matriz p. 20, código AE.03.01-1</t>
        </is>
      </c>
      <c r="G185" s="8" t="inlineStr">
        <is>
          <t>Con fuente</t>
        </is>
      </c>
      <c r="H185" s="8" t="n"/>
      <c r="I185" s="8" t="n"/>
      <c r="J185" s="8" t="inlineStr">
        <is>
          <t>cumplimiento</t>
        </is>
      </c>
      <c r="K185" s="8" t="n"/>
      <c r="L185" s="8" t="inlineStr">
        <is>
          <t>Se acumula en el año: se compara con lo esperado a la fecha de corte [CP].</t>
        </is>
      </c>
      <c r="M185" s="8" t="inlineStr">
        <is>
          <t>Acumulado en el año</t>
        </is>
      </c>
      <c r="N185" s="8" t="inlineStr">
        <is>
          <t>Razón al esperado</t>
        </is>
      </c>
      <c r="O185" s="13">
        <f>IFERROR(INDEX(Catalogo!$C$5:$C$129,MATCH(A185,Catalogo!$A$5:$A$129,0)),"")</f>
        <v/>
      </c>
    </row>
    <row r="186">
      <c r="A186" s="13" t="inlineStr">
        <is>
          <t>PEFM-AE.03.01-2</t>
        </is>
      </c>
      <c r="B186" s="8" t="n">
        <v>2024</v>
      </c>
      <c r="C186" s="8" t="n">
        <v>10.38</v>
      </c>
      <c r="D186" s="8" t="inlineStr">
        <is>
          <t>Mayor es mejor</t>
        </is>
      </c>
      <c r="E186" s="8" t="inlineStr">
        <is>
          <t>%</t>
        </is>
      </c>
      <c r="F186" s="8" t="inlineStr">
        <is>
          <t>PE - INDICADORES FM. 1.xlsx, hoja 'PE MEDICION 2024 - 2025-I', fila 36, columna LOGRO ESPERADO 2024</t>
        </is>
      </c>
      <c r="G186" s="8" t="inlineStr">
        <is>
          <t>Con fuente</t>
        </is>
      </c>
      <c r="H186" s="8" t="n"/>
      <c r="I186" s="8" t="n"/>
      <c r="J186" s="8" t="inlineStr">
        <is>
          <t>cumplimiento</t>
        </is>
      </c>
      <c r="K186" s="8" t="n"/>
      <c r="L186" s="8" t="inlineStr">
        <is>
          <t>Porcentaje o índice: un valor parcial queda «En seguimiento» [CP].</t>
        </is>
      </c>
      <c r="M186" s="8" t="inlineStr">
        <is>
          <t>Puntual</t>
        </is>
      </c>
      <c r="N186" s="8" t="inlineStr">
        <is>
          <t>Razón al esperado</t>
        </is>
      </c>
      <c r="O186" s="13">
        <f>IFERROR(INDEX(Catalogo!$C$5:$C$129,MATCH(A186,Catalogo!$A$5:$A$129,0)),"")</f>
        <v/>
      </c>
    </row>
    <row r="187">
      <c r="A187" s="13" t="inlineStr">
        <is>
          <t>PEFM-AE.03.01-2</t>
        </is>
      </c>
      <c r="B187" s="8" t="n">
        <v>2025</v>
      </c>
      <c r="C187" s="8" t="n">
        <v>12.38</v>
      </c>
      <c r="D187" s="8" t="inlineStr">
        <is>
          <t>Mayor es mejor</t>
        </is>
      </c>
      <c r="E187" s="8" t="inlineStr">
        <is>
          <t>%</t>
        </is>
      </c>
      <c r="F187" s="8" t="inlineStr">
        <is>
          <t>PE - INDICADORES FM. 1.xlsx, hoja 'PE MEDICION 2024 - 2025-I', fila 36, columna LOGRO ESPERADO 2025</t>
        </is>
      </c>
      <c r="G187" s="8" t="inlineStr">
        <is>
          <t>Con fuente</t>
        </is>
      </c>
      <c r="H187" s="8" t="n"/>
      <c r="I187" s="8" t="n"/>
      <c r="J187" s="8" t="inlineStr">
        <is>
          <t>cumplimiento</t>
        </is>
      </c>
      <c r="K187" s="8" t="n"/>
      <c r="L187" s="8" t="inlineStr">
        <is>
          <t>Porcentaje o índice: un valor parcial queda «En seguimiento» [CP].</t>
        </is>
      </c>
      <c r="M187" s="8" t="inlineStr">
        <is>
          <t>Puntual</t>
        </is>
      </c>
      <c r="N187" s="8" t="inlineStr">
        <is>
          <t>Razón al esperado</t>
        </is>
      </c>
      <c r="O187" s="13">
        <f>IFERROR(INDEX(Catalogo!$C$5:$C$129,MATCH(A187,Catalogo!$A$5:$A$129,0)),"")</f>
        <v/>
      </c>
    </row>
    <row r="188">
      <c r="A188" s="13" t="inlineStr">
        <is>
          <t>PEFM-AE.03.01-2</t>
        </is>
      </c>
      <c r="B188" s="8" t="n">
        <v>2026</v>
      </c>
      <c r="C188" s="8" t="n">
        <v>14.38</v>
      </c>
      <c r="D188" s="8" t="inlineStr">
        <is>
          <t>Mayor es mejor</t>
        </is>
      </c>
      <c r="E188" s="8" t="inlineStr">
        <is>
          <t>%</t>
        </is>
      </c>
      <c r="F188" s="8" t="inlineStr">
        <is>
          <t>PE FM 2024-2027 [A11], matriz p. 20, código AE.03.01-2</t>
        </is>
      </c>
      <c r="G188" s="8" t="inlineStr">
        <is>
          <t>Con fuente</t>
        </is>
      </c>
      <c r="H188" s="8" t="n"/>
      <c r="I188" s="8" t="n"/>
      <c r="J188" s="8" t="inlineStr">
        <is>
          <t>cumplimiento</t>
        </is>
      </c>
      <c r="K188" s="8" t="n"/>
      <c r="L188" s="8" t="inlineStr">
        <is>
          <t>Porcentaje o índice: un valor parcial queda «En seguimiento» [CP].</t>
        </is>
      </c>
      <c r="M188" s="8" t="inlineStr">
        <is>
          <t>Puntual</t>
        </is>
      </c>
      <c r="N188" s="8" t="inlineStr">
        <is>
          <t>Razón al esperado</t>
        </is>
      </c>
      <c r="O188" s="13">
        <f>IFERROR(INDEX(Catalogo!$C$5:$C$129,MATCH(A188,Catalogo!$A$5:$A$129,0)),"")</f>
        <v/>
      </c>
    </row>
    <row r="189">
      <c r="A189" s="13" t="inlineStr">
        <is>
          <t>PEFM-AE.03.01-2</t>
        </is>
      </c>
      <c r="B189" s="8" t="n">
        <v>2027</v>
      </c>
      <c r="C189" s="8" t="n">
        <v>16.38</v>
      </c>
      <c r="D189" s="8" t="inlineStr">
        <is>
          <t>Mayor es mejor</t>
        </is>
      </c>
      <c r="E189" s="8" t="inlineStr">
        <is>
          <t>%</t>
        </is>
      </c>
      <c r="F189" s="8" t="inlineStr">
        <is>
          <t>PE FM 2024-2027 [A11], matriz p. 20, código AE.03.01-2</t>
        </is>
      </c>
      <c r="G189" s="8" t="inlineStr">
        <is>
          <t>Con fuente</t>
        </is>
      </c>
      <c r="H189" s="8" t="n"/>
      <c r="I189" s="8" t="n"/>
      <c r="J189" s="8" t="inlineStr">
        <is>
          <t>cumplimiento</t>
        </is>
      </c>
      <c r="K189" s="8" t="n"/>
      <c r="L189" s="8" t="inlineStr">
        <is>
          <t>Porcentaje o índice: un valor parcial queda «En seguimiento» [CP].</t>
        </is>
      </c>
      <c r="M189" s="8" t="inlineStr">
        <is>
          <t>Puntual</t>
        </is>
      </c>
      <c r="N189" s="8" t="inlineStr">
        <is>
          <t>Razón al esperado</t>
        </is>
      </c>
      <c r="O189" s="13">
        <f>IFERROR(INDEX(Catalogo!$C$5:$C$129,MATCH(A189,Catalogo!$A$5:$A$129,0)),"")</f>
        <v/>
      </c>
    </row>
    <row r="190">
      <c r="A190" s="13" t="inlineStr">
        <is>
          <t>PEFM-AE.03.02-1</t>
        </is>
      </c>
      <c r="B190" s="8" t="n">
        <v>2024</v>
      </c>
      <c r="C190" s="8" t="n">
        <v>94</v>
      </c>
      <c r="D190" s="8" t="inlineStr">
        <is>
          <t>Mayor es mejor</t>
        </is>
      </c>
      <c r="E190" s="8" t="inlineStr">
        <is>
          <t>%</t>
        </is>
      </c>
      <c r="F190" s="8" t="inlineStr">
        <is>
          <t>PE - INDICADORES FM. 1.xlsx, hoja 'PE MEDICION 2024 - 2025-I', fila 37, columna LOGRO ESPERADO 2024</t>
        </is>
      </c>
      <c r="G190" s="8" t="inlineStr">
        <is>
          <t>Con fuente</t>
        </is>
      </c>
      <c r="H190" s="8" t="n"/>
      <c r="I190" s="8" t="n"/>
      <c r="J190" s="8" t="inlineStr">
        <is>
          <t>cumplimiento</t>
        </is>
      </c>
      <c r="K190" s="8" t="n"/>
      <c r="L190" s="8" t="inlineStr">
        <is>
          <t>Porcentaje o índice: un valor parcial queda «En seguimiento» [CP].</t>
        </is>
      </c>
      <c r="M190" s="8" t="inlineStr">
        <is>
          <t>Puntual</t>
        </is>
      </c>
      <c r="N190" s="8" t="inlineStr">
        <is>
          <t>Razón al esperado</t>
        </is>
      </c>
      <c r="O190" s="13">
        <f>IFERROR(INDEX(Catalogo!$C$5:$C$129,MATCH(A190,Catalogo!$A$5:$A$129,0)),"")</f>
        <v/>
      </c>
    </row>
    <row r="191">
      <c r="A191" s="13" t="inlineStr">
        <is>
          <t>PEFM-AE.03.02-1</t>
        </is>
      </c>
      <c r="B191" s="8" t="n">
        <v>2025</v>
      </c>
      <c r="C191" s="8" t="n">
        <v>96</v>
      </c>
      <c r="D191" s="8" t="inlineStr">
        <is>
          <t>Mayor es mejor</t>
        </is>
      </c>
      <c r="E191" s="8" t="inlineStr">
        <is>
          <t>%</t>
        </is>
      </c>
      <c r="F191" s="8" t="inlineStr">
        <is>
          <t>PE - INDICADORES FM. 1.xlsx, hoja 'PE MEDICION 2024 - 2025-I', fila 37, columna LOGRO ESPERADO 2025</t>
        </is>
      </c>
      <c r="G191" s="8" t="inlineStr">
        <is>
          <t>Con fuente</t>
        </is>
      </c>
      <c r="H191" s="8" t="n"/>
      <c r="I191" s="8" t="n"/>
      <c r="J191" s="8" t="inlineStr">
        <is>
          <t>cumplimiento</t>
        </is>
      </c>
      <c r="K191" s="8" t="n"/>
      <c r="L191" s="8" t="inlineStr">
        <is>
          <t>Porcentaje o índice: un valor parcial queda «En seguimiento» [CP].</t>
        </is>
      </c>
      <c r="M191" s="8" t="inlineStr">
        <is>
          <t>Puntual</t>
        </is>
      </c>
      <c r="N191" s="8" t="inlineStr">
        <is>
          <t>Razón al esperado</t>
        </is>
      </c>
      <c r="O191" s="13">
        <f>IFERROR(INDEX(Catalogo!$C$5:$C$129,MATCH(A191,Catalogo!$A$5:$A$129,0)),"")</f>
        <v/>
      </c>
    </row>
    <row r="192">
      <c r="A192" s="13" t="inlineStr">
        <is>
          <t>PEFM-AE.03.02-1</t>
        </is>
      </c>
      <c r="B192" s="8" t="n">
        <v>2026</v>
      </c>
      <c r="C192" s="8" t="n">
        <v>97</v>
      </c>
      <c r="D192" s="8" t="inlineStr">
        <is>
          <t>Mayor es mejor</t>
        </is>
      </c>
      <c r="E192" s="8" t="inlineStr">
        <is>
          <t>%</t>
        </is>
      </c>
      <c r="F192" s="8" t="inlineStr">
        <is>
          <t>PE FM 2024-2027 [A11], matriz p. 21, código AE.03.02-1</t>
        </is>
      </c>
      <c r="G192" s="8" t="inlineStr">
        <is>
          <t>Con fuente</t>
        </is>
      </c>
      <c r="H192" s="8" t="n"/>
      <c r="I192" s="8" t="n"/>
      <c r="J192" s="8" t="inlineStr">
        <is>
          <t>cumplimiento</t>
        </is>
      </c>
      <c r="K192" s="8" t="n"/>
      <c r="L192" s="8" t="inlineStr">
        <is>
          <t>Porcentaje o índice: un valor parcial queda «En seguimiento» [CP].</t>
        </is>
      </c>
      <c r="M192" s="8" t="inlineStr">
        <is>
          <t>Puntual</t>
        </is>
      </c>
      <c r="N192" s="8" t="inlineStr">
        <is>
          <t>Razón al esperado</t>
        </is>
      </c>
      <c r="O192" s="13">
        <f>IFERROR(INDEX(Catalogo!$C$5:$C$129,MATCH(A192,Catalogo!$A$5:$A$129,0)),"")</f>
        <v/>
      </c>
    </row>
    <row r="193">
      <c r="A193" s="13" t="inlineStr">
        <is>
          <t>PEFM-AE.03.02-1</t>
        </is>
      </c>
      <c r="B193" s="8" t="n">
        <v>2027</v>
      </c>
      <c r="C193" s="8" t="n">
        <v>98</v>
      </c>
      <c r="D193" s="8" t="inlineStr">
        <is>
          <t>Mayor es mejor</t>
        </is>
      </c>
      <c r="E193" s="8" t="inlineStr">
        <is>
          <t>%</t>
        </is>
      </c>
      <c r="F193" s="8" t="inlineStr">
        <is>
          <t>PE FM 2024-2027 [A11], matriz p. 21, código AE.03.02-1</t>
        </is>
      </c>
      <c r="G193" s="8" t="inlineStr">
        <is>
          <t>Con fuente</t>
        </is>
      </c>
      <c r="H193" s="8" t="n"/>
      <c r="I193" s="8" t="n"/>
      <c r="J193" s="8" t="inlineStr">
        <is>
          <t>cumplimiento</t>
        </is>
      </c>
      <c r="K193" s="8" t="n"/>
      <c r="L193" s="8" t="inlineStr">
        <is>
          <t>Porcentaje o índice: un valor parcial queda «En seguimiento» [CP].</t>
        </is>
      </c>
      <c r="M193" s="8" t="inlineStr">
        <is>
          <t>Puntual</t>
        </is>
      </c>
      <c r="N193" s="8" t="inlineStr">
        <is>
          <t>Razón al esperado</t>
        </is>
      </c>
      <c r="O193" s="13">
        <f>IFERROR(INDEX(Catalogo!$C$5:$C$129,MATCH(A193,Catalogo!$A$5:$A$129,0)),"")</f>
        <v/>
      </c>
    </row>
    <row r="194">
      <c r="A194" s="13" t="inlineStr">
        <is>
          <t>PEFM-AE.03.02-2</t>
        </is>
      </c>
      <c r="B194" s="8" t="n">
        <v>2024</v>
      </c>
      <c r="C194" s="8" t="n">
        <v>28</v>
      </c>
      <c r="D194" s="8" t="inlineStr">
        <is>
          <t>Mayor es mejor</t>
        </is>
      </c>
      <c r="E194" s="8" t="inlineStr">
        <is>
          <t>número</t>
        </is>
      </c>
      <c r="F194" s="8" t="inlineStr">
        <is>
          <t>PE - INDICADORES FM. 1.xlsx, hoja 'PE MEDICION 2024 - 2025-I', fila 38, columna LOGRO ESPERADO 2024</t>
        </is>
      </c>
      <c r="G194" s="8" t="inlineStr">
        <is>
          <t>Con fuente</t>
        </is>
      </c>
      <c r="H194" s="8" t="n"/>
      <c r="I194" s="8" t="n"/>
      <c r="J194" s="8" t="inlineStr">
        <is>
          <t>cumplimiento</t>
        </is>
      </c>
      <c r="K194" s="8" t="n"/>
      <c r="L194" s="8" t="inlineStr">
        <is>
          <t>Se acumula en el año: se compara con lo esperado a la fecha de corte [CP].</t>
        </is>
      </c>
      <c r="M194" s="8" t="inlineStr">
        <is>
          <t>Acumulado en el año</t>
        </is>
      </c>
      <c r="N194" s="8" t="inlineStr">
        <is>
          <t>Razón al esperado</t>
        </is>
      </c>
      <c r="O194" s="13">
        <f>IFERROR(INDEX(Catalogo!$C$5:$C$129,MATCH(A194,Catalogo!$A$5:$A$129,0)),"")</f>
        <v/>
      </c>
    </row>
    <row r="195">
      <c r="A195" s="13" t="inlineStr">
        <is>
          <t>PEFM-AE.03.02-2</t>
        </is>
      </c>
      <c r="B195" s="8" t="n">
        <v>2025</v>
      </c>
      <c r="C195" s="8" t="n">
        <v>33</v>
      </c>
      <c r="D195" s="8" t="inlineStr">
        <is>
          <t>Mayor es mejor</t>
        </is>
      </c>
      <c r="E195" s="8" t="inlineStr">
        <is>
          <t>número</t>
        </is>
      </c>
      <c r="F195" s="8" t="inlineStr">
        <is>
          <t>PE - INDICADORES FM. 1.xlsx, hoja 'PE MEDICION 2024 - 2025-I', fila 38, columna LOGRO ESPERADO 2025</t>
        </is>
      </c>
      <c r="G195" s="8" t="inlineStr">
        <is>
          <t>Con fuente</t>
        </is>
      </c>
      <c r="H195" s="8" t="n"/>
      <c r="I195" s="8" t="n"/>
      <c r="J195" s="8" t="inlineStr">
        <is>
          <t>cumplimiento</t>
        </is>
      </c>
      <c r="K195" s="8" t="n"/>
      <c r="L195" s="8" t="inlineStr">
        <is>
          <t>Se acumula en el año: se compara con lo esperado a la fecha de corte [CP].</t>
        </is>
      </c>
      <c r="M195" s="8" t="inlineStr">
        <is>
          <t>Acumulado en el año</t>
        </is>
      </c>
      <c r="N195" s="8" t="inlineStr">
        <is>
          <t>Razón al esperado</t>
        </is>
      </c>
      <c r="O195" s="13">
        <f>IFERROR(INDEX(Catalogo!$C$5:$C$129,MATCH(A195,Catalogo!$A$5:$A$129,0)),"")</f>
        <v/>
      </c>
    </row>
    <row r="196">
      <c r="A196" s="13" t="inlineStr">
        <is>
          <t>PEFM-AE.03.02-2</t>
        </is>
      </c>
      <c r="B196" s="8" t="n">
        <v>2026</v>
      </c>
      <c r="C196" s="8" t="n">
        <v>38</v>
      </c>
      <c r="D196" s="8" t="inlineStr">
        <is>
          <t>Mayor es mejor</t>
        </is>
      </c>
      <c r="E196" s="8" t="inlineStr">
        <is>
          <t>número</t>
        </is>
      </c>
      <c r="F196" s="8" t="inlineStr">
        <is>
          <t>PE FM 2024-2027 [A11], matriz p. 21, código AE.03.02-2</t>
        </is>
      </c>
      <c r="G196" s="8" t="inlineStr">
        <is>
          <t>Con fuente</t>
        </is>
      </c>
      <c r="H196" s="8" t="n"/>
      <c r="I196" s="8" t="n"/>
      <c r="J196" s="8" t="inlineStr">
        <is>
          <t>cumplimiento</t>
        </is>
      </c>
      <c r="K196" s="8" t="n"/>
      <c r="L196" s="8" t="inlineStr">
        <is>
          <t>Se acumula en el año: se compara con lo esperado a la fecha de corte [CP].</t>
        </is>
      </c>
      <c r="M196" s="8" t="inlineStr">
        <is>
          <t>Acumulado en el año</t>
        </is>
      </c>
      <c r="N196" s="8" t="inlineStr">
        <is>
          <t>Razón al esperado</t>
        </is>
      </c>
      <c r="O196" s="13">
        <f>IFERROR(INDEX(Catalogo!$C$5:$C$129,MATCH(A196,Catalogo!$A$5:$A$129,0)),"")</f>
        <v/>
      </c>
    </row>
    <row r="197">
      <c r="A197" s="13" t="inlineStr">
        <is>
          <t>PEFM-AE.03.02-2</t>
        </is>
      </c>
      <c r="B197" s="8" t="n">
        <v>2027</v>
      </c>
      <c r="C197" s="8" t="n">
        <v>43</v>
      </c>
      <c r="D197" s="8" t="inlineStr">
        <is>
          <t>Mayor es mejor</t>
        </is>
      </c>
      <c r="E197" s="8" t="inlineStr">
        <is>
          <t>número</t>
        </is>
      </c>
      <c r="F197" s="8" t="inlineStr">
        <is>
          <t>PE FM 2024-2027 [A11], matriz p. 21, código AE.03.02-2</t>
        </is>
      </c>
      <c r="G197" s="8" t="inlineStr">
        <is>
          <t>Con fuente</t>
        </is>
      </c>
      <c r="H197" s="8" t="n"/>
      <c r="I197" s="8" t="n"/>
      <c r="J197" s="8" t="inlineStr">
        <is>
          <t>cumplimiento</t>
        </is>
      </c>
      <c r="K197" s="8" t="n"/>
      <c r="L197" s="8" t="inlineStr">
        <is>
          <t>Se acumula en el año: se compara con lo esperado a la fecha de corte [CP].</t>
        </is>
      </c>
      <c r="M197" s="8" t="inlineStr">
        <is>
          <t>Acumulado en el año</t>
        </is>
      </c>
      <c r="N197" s="8" t="inlineStr">
        <is>
          <t>Razón al esperado</t>
        </is>
      </c>
      <c r="O197" s="13">
        <f>IFERROR(INDEX(Catalogo!$C$5:$C$129,MATCH(A197,Catalogo!$A$5:$A$129,0)),"")</f>
        <v/>
      </c>
    </row>
    <row r="198">
      <c r="A198" s="13" t="inlineStr">
        <is>
          <t>PEFM-AE.03.03-1</t>
        </is>
      </c>
      <c r="B198" s="8" t="n">
        <v>2024</v>
      </c>
      <c r="C198" s="8" t="n">
        <v>2</v>
      </c>
      <c r="D198" s="8" t="inlineStr">
        <is>
          <t>Mayor es mejor</t>
        </is>
      </c>
      <c r="E198" s="8" t="inlineStr">
        <is>
          <t>número</t>
        </is>
      </c>
      <c r="F198" s="8" t="inlineStr">
        <is>
          <t>PE - INDICADORES FM. 1.xlsx, hoja 'PE MEDICION 2024 - 2025-I', fila 39, columna LOGRO ESPERADO 2024</t>
        </is>
      </c>
      <c r="G198" s="8" t="inlineStr">
        <is>
          <t>Con fuente</t>
        </is>
      </c>
      <c r="H198" s="8" t="n"/>
      <c r="I198" s="8" t="n"/>
      <c r="J198" s="8" t="inlineStr">
        <is>
          <t>cumplimiento</t>
        </is>
      </c>
      <c r="K198" s="8" t="n"/>
      <c r="L198" s="8" t="inlineStr">
        <is>
          <t>Se acumula en el año: se compara con lo esperado a la fecha de corte [CP].</t>
        </is>
      </c>
      <c r="M198" s="8" t="inlineStr">
        <is>
          <t>Acumulado en el año</t>
        </is>
      </c>
      <c r="N198" s="8" t="inlineStr">
        <is>
          <t>Razón al esperado</t>
        </is>
      </c>
      <c r="O198" s="13">
        <f>IFERROR(INDEX(Catalogo!$C$5:$C$129,MATCH(A198,Catalogo!$A$5:$A$129,0)),"")</f>
        <v/>
      </c>
    </row>
    <row r="199">
      <c r="A199" s="13" t="inlineStr">
        <is>
          <t>PEFM-AE.03.03-1</t>
        </is>
      </c>
      <c r="B199" s="8" t="n">
        <v>2025</v>
      </c>
      <c r="C199" s="8" t="n">
        <v>4</v>
      </c>
      <c r="D199" s="8" t="inlineStr">
        <is>
          <t>Mayor es mejor</t>
        </is>
      </c>
      <c r="E199" s="8" t="inlineStr">
        <is>
          <t>número</t>
        </is>
      </c>
      <c r="F199" s="8" t="inlineStr">
        <is>
          <t>PE - INDICADORES FM. 1.xlsx, hoja 'PE MEDICION 2024 - 2025-I', fila 39, columna LOGRO ESPERADO 2025</t>
        </is>
      </c>
      <c r="G199" s="8" t="inlineStr">
        <is>
          <t>Con fuente</t>
        </is>
      </c>
      <c r="H199" s="8" t="n"/>
      <c r="I199" s="8" t="n"/>
      <c r="J199" s="8" t="inlineStr">
        <is>
          <t>cumplimiento</t>
        </is>
      </c>
      <c r="K199" s="8" t="n"/>
      <c r="L199" s="8" t="inlineStr">
        <is>
          <t>Se acumula en el año: se compara con lo esperado a la fecha de corte [CP].</t>
        </is>
      </c>
      <c r="M199" s="8" t="inlineStr">
        <is>
          <t>Acumulado en el año</t>
        </is>
      </c>
      <c r="N199" s="8" t="inlineStr">
        <is>
          <t>Razón al esperado</t>
        </is>
      </c>
      <c r="O199" s="13">
        <f>IFERROR(INDEX(Catalogo!$C$5:$C$129,MATCH(A199,Catalogo!$A$5:$A$129,0)),"")</f>
        <v/>
      </c>
    </row>
    <row r="200">
      <c r="A200" s="13" t="inlineStr">
        <is>
          <t>PEFM-AE.03.03-1</t>
        </is>
      </c>
      <c r="B200" s="8" t="n">
        <v>2026</v>
      </c>
      <c r="C200" s="8" t="n">
        <v>6</v>
      </c>
      <c r="D200" s="8" t="inlineStr">
        <is>
          <t>Mayor es mejor</t>
        </is>
      </c>
      <c r="E200" s="8" t="inlineStr">
        <is>
          <t>número</t>
        </is>
      </c>
      <c r="F200" s="8" t="inlineStr">
        <is>
          <t>PE FM 2024-2027 [A11], matriz p. 21, código AE.03.03-1</t>
        </is>
      </c>
      <c r="G200" s="8" t="inlineStr">
        <is>
          <t>Con fuente</t>
        </is>
      </c>
      <c r="H200" s="8" t="n"/>
      <c r="I200" s="8" t="n"/>
      <c r="J200" s="8" t="inlineStr">
        <is>
          <t>cumplimiento</t>
        </is>
      </c>
      <c r="K200" s="8" t="n"/>
      <c r="L200" s="8" t="inlineStr">
        <is>
          <t>Se acumula en el año: se compara con lo esperado a la fecha de corte [CP].</t>
        </is>
      </c>
      <c r="M200" s="8" t="inlineStr">
        <is>
          <t>Acumulado en el año</t>
        </is>
      </c>
      <c r="N200" s="8" t="inlineStr">
        <is>
          <t>Razón al esperado</t>
        </is>
      </c>
      <c r="O200" s="13">
        <f>IFERROR(INDEX(Catalogo!$C$5:$C$129,MATCH(A200,Catalogo!$A$5:$A$129,0)),"")</f>
        <v/>
      </c>
    </row>
    <row r="201">
      <c r="A201" s="13" t="inlineStr">
        <is>
          <t>PEFM-AE.03.03-1</t>
        </is>
      </c>
      <c r="B201" s="8" t="n">
        <v>2027</v>
      </c>
      <c r="C201" s="8" t="n">
        <v>8</v>
      </c>
      <c r="D201" s="8" t="inlineStr">
        <is>
          <t>Mayor es mejor</t>
        </is>
      </c>
      <c r="E201" s="8" t="inlineStr">
        <is>
          <t>número</t>
        </is>
      </c>
      <c r="F201" s="8" t="inlineStr">
        <is>
          <t>PE FM 2024-2027 [A11], matriz p. 21, código AE.03.03-1</t>
        </is>
      </c>
      <c r="G201" s="8" t="inlineStr">
        <is>
          <t>Con fuente</t>
        </is>
      </c>
      <c r="H201" s="8" t="n"/>
      <c r="I201" s="8" t="n"/>
      <c r="J201" s="8" t="inlineStr">
        <is>
          <t>cumplimiento</t>
        </is>
      </c>
      <c r="K201" s="8" t="n"/>
      <c r="L201" s="8" t="inlineStr">
        <is>
          <t>Se acumula en el año: se compara con lo esperado a la fecha de corte [CP].</t>
        </is>
      </c>
      <c r="M201" s="8" t="inlineStr">
        <is>
          <t>Acumulado en el año</t>
        </is>
      </c>
      <c r="N201" s="8" t="inlineStr">
        <is>
          <t>Razón al esperado</t>
        </is>
      </c>
      <c r="O201" s="13">
        <f>IFERROR(INDEX(Catalogo!$C$5:$C$129,MATCH(A201,Catalogo!$A$5:$A$129,0)),"")</f>
        <v/>
      </c>
    </row>
    <row r="202">
      <c r="A202" s="13" t="inlineStr">
        <is>
          <t>PEFM-AE.03.03-2</t>
        </is>
      </c>
      <c r="B202" s="8" t="n">
        <v>2024</v>
      </c>
      <c r="C202" s="8" t="n">
        <v>10</v>
      </c>
      <c r="D202" s="8" t="inlineStr">
        <is>
          <t>Mayor es mejor</t>
        </is>
      </c>
      <c r="E202" s="8" t="inlineStr">
        <is>
          <t>número</t>
        </is>
      </c>
      <c r="F202" s="8" t="inlineStr">
        <is>
          <t>PE - INDICADORES FM. 1.xlsx, hoja 'PE MEDICION 2024 - 2025-I', fila 40, columna LOGRO ESPERADO 2024</t>
        </is>
      </c>
      <c r="G202" s="8" t="inlineStr">
        <is>
          <t>Con fuente</t>
        </is>
      </c>
      <c r="H202" s="8" t="n"/>
      <c r="I202" s="8" t="n"/>
      <c r="J202" s="8" t="inlineStr">
        <is>
          <t>cumplimiento</t>
        </is>
      </c>
      <c r="K202" s="8" t="n"/>
      <c r="L202" s="8" t="inlineStr">
        <is>
          <t>Se acumula en el año: se compara con lo esperado a la fecha de corte [CP].</t>
        </is>
      </c>
      <c r="M202" s="8" t="inlineStr">
        <is>
          <t>Acumulado en el año</t>
        </is>
      </c>
      <c r="N202" s="8" t="inlineStr">
        <is>
          <t>Razón al esperado</t>
        </is>
      </c>
      <c r="O202" s="13">
        <f>IFERROR(INDEX(Catalogo!$C$5:$C$129,MATCH(A202,Catalogo!$A$5:$A$129,0)),"")</f>
        <v/>
      </c>
    </row>
    <row r="203">
      <c r="A203" s="13" t="inlineStr">
        <is>
          <t>PEFM-AE.03.03-2</t>
        </is>
      </c>
      <c r="B203" s="8" t="n">
        <v>2025</v>
      </c>
      <c r="C203" s="8" t="n">
        <v>15</v>
      </c>
      <c r="D203" s="8" t="inlineStr">
        <is>
          <t>Mayor es mejor</t>
        </is>
      </c>
      <c r="E203" s="8" t="inlineStr">
        <is>
          <t>número</t>
        </is>
      </c>
      <c r="F203" s="8" t="inlineStr">
        <is>
          <t>PE - INDICADORES FM. 1.xlsx, hoja 'PE MEDICION 2024 - 2025-I', fila 40, columna LOGRO ESPERADO 2025</t>
        </is>
      </c>
      <c r="G203" s="8" t="inlineStr">
        <is>
          <t>Con fuente</t>
        </is>
      </c>
      <c r="H203" s="8" t="n"/>
      <c r="I203" s="8" t="n"/>
      <c r="J203" s="8" t="inlineStr">
        <is>
          <t>cumplimiento</t>
        </is>
      </c>
      <c r="K203" s="8" t="n"/>
      <c r="L203" s="8" t="inlineStr">
        <is>
          <t>Se acumula en el año: se compara con lo esperado a la fecha de corte [CP].</t>
        </is>
      </c>
      <c r="M203" s="8" t="inlineStr">
        <is>
          <t>Acumulado en el año</t>
        </is>
      </c>
      <c r="N203" s="8" t="inlineStr">
        <is>
          <t>Razón al esperado</t>
        </is>
      </c>
      <c r="O203" s="13">
        <f>IFERROR(INDEX(Catalogo!$C$5:$C$129,MATCH(A203,Catalogo!$A$5:$A$129,0)),"")</f>
        <v/>
      </c>
    </row>
    <row r="204">
      <c r="A204" s="13" t="inlineStr">
        <is>
          <t>PEFM-AE.03.03-2</t>
        </is>
      </c>
      <c r="B204" s="8" t="n">
        <v>2026</v>
      </c>
      <c r="C204" s="8" t="n">
        <v>20</v>
      </c>
      <c r="D204" s="8" t="inlineStr">
        <is>
          <t>Mayor es mejor</t>
        </is>
      </c>
      <c r="E204" s="8" t="inlineStr">
        <is>
          <t>número</t>
        </is>
      </c>
      <c r="F204" s="8" t="inlineStr">
        <is>
          <t>PE FM 2024-2027 [A11], matriz p. 21, código AE.03.03-2</t>
        </is>
      </c>
      <c r="G204" s="8" t="inlineStr">
        <is>
          <t>Con fuente</t>
        </is>
      </c>
      <c r="H204" s="8" t="n"/>
      <c r="I204" s="8" t="n"/>
      <c r="J204" s="8" t="inlineStr">
        <is>
          <t>cumplimiento</t>
        </is>
      </c>
      <c r="K204" s="8" t="n"/>
      <c r="L204" s="8" t="inlineStr">
        <is>
          <t>Se acumula en el año: se compara con lo esperado a la fecha de corte [CP].</t>
        </is>
      </c>
      <c r="M204" s="8" t="inlineStr">
        <is>
          <t>Acumulado en el año</t>
        </is>
      </c>
      <c r="N204" s="8" t="inlineStr">
        <is>
          <t>Razón al esperado</t>
        </is>
      </c>
      <c r="O204" s="13">
        <f>IFERROR(INDEX(Catalogo!$C$5:$C$129,MATCH(A204,Catalogo!$A$5:$A$129,0)),"")</f>
        <v/>
      </c>
    </row>
    <row r="205">
      <c r="A205" s="13" t="inlineStr">
        <is>
          <t>PEFM-AE.03.03-2</t>
        </is>
      </c>
      <c r="B205" s="8" t="n">
        <v>2027</v>
      </c>
      <c r="C205" s="8" t="n">
        <v>25</v>
      </c>
      <c r="D205" s="8" t="inlineStr">
        <is>
          <t>Mayor es mejor</t>
        </is>
      </c>
      <c r="E205" s="8" t="inlineStr">
        <is>
          <t>número</t>
        </is>
      </c>
      <c r="F205" s="8" t="inlineStr">
        <is>
          <t>PE FM 2024-2027 [A11], matriz p. 21, código AE.03.03-2</t>
        </is>
      </c>
      <c r="G205" s="8" t="inlineStr">
        <is>
          <t>Con fuente</t>
        </is>
      </c>
      <c r="H205" s="8" t="n"/>
      <c r="I205" s="8" t="n"/>
      <c r="J205" s="8" t="inlineStr">
        <is>
          <t>cumplimiento</t>
        </is>
      </c>
      <c r="K205" s="8" t="n"/>
      <c r="L205" s="8" t="inlineStr">
        <is>
          <t>Se acumula en el año: se compara con lo esperado a la fecha de corte [CP].</t>
        </is>
      </c>
      <c r="M205" s="8" t="inlineStr">
        <is>
          <t>Acumulado en el año</t>
        </is>
      </c>
      <c r="N205" s="8" t="inlineStr">
        <is>
          <t>Razón al esperado</t>
        </is>
      </c>
      <c r="O205" s="13">
        <f>IFERROR(INDEX(Catalogo!$C$5:$C$129,MATCH(A205,Catalogo!$A$5:$A$129,0)),"")</f>
        <v/>
      </c>
    </row>
    <row r="206">
      <c r="A206" s="13" t="inlineStr">
        <is>
          <t>PEFM-AE.03.04</t>
        </is>
      </c>
      <c r="B206" s="8" t="n">
        <v>2024</v>
      </c>
      <c r="C206" s="8" t="n">
        <v>2</v>
      </c>
      <c r="D206" s="8" t="inlineStr">
        <is>
          <t>Mayor es mejor</t>
        </is>
      </c>
      <c r="E206" s="8" t="inlineStr">
        <is>
          <t>número</t>
        </is>
      </c>
      <c r="F206" s="8" t="inlineStr">
        <is>
          <t>PE - INDICADORES FM. 1.xlsx, hoja 'PE MEDICION 2024 - 2025-I', fila 41, columna LOGRO ESPERADO 2024</t>
        </is>
      </c>
      <c r="G206" s="8" t="inlineStr">
        <is>
          <t>Con fuente</t>
        </is>
      </c>
      <c r="H206" s="8" t="n"/>
      <c r="I206" s="8" t="n"/>
      <c r="J206" s="8" t="inlineStr">
        <is>
          <t>cumplimiento</t>
        </is>
      </c>
      <c r="K206" s="8" t="n"/>
      <c r="L206" s="8" t="inlineStr">
        <is>
          <t>Se acumula en el año: se compara con lo esperado a la fecha de corte [CP].</t>
        </is>
      </c>
      <c r="M206" s="8" t="inlineStr">
        <is>
          <t>Acumulado en el año</t>
        </is>
      </c>
      <c r="N206" s="8" t="inlineStr">
        <is>
          <t>Razón al esperado</t>
        </is>
      </c>
      <c r="O206" s="13">
        <f>IFERROR(INDEX(Catalogo!$C$5:$C$129,MATCH(A206,Catalogo!$A$5:$A$129,0)),"")</f>
        <v/>
      </c>
    </row>
    <row r="207">
      <c r="A207" s="13" t="inlineStr">
        <is>
          <t>PEFM-AE.03.04</t>
        </is>
      </c>
      <c r="B207" s="8" t="n">
        <v>2025</v>
      </c>
      <c r="C207" s="8" t="n">
        <v>4</v>
      </c>
      <c r="D207" s="8" t="inlineStr">
        <is>
          <t>Mayor es mejor</t>
        </is>
      </c>
      <c r="E207" s="8" t="inlineStr">
        <is>
          <t>número</t>
        </is>
      </c>
      <c r="F207" s="8" t="inlineStr">
        <is>
          <t>PE - INDICADORES FM. 1.xlsx, hoja 'PE MEDICION 2024 - 2025-I', fila 41, columna LOGRO ESPERADO 2025</t>
        </is>
      </c>
      <c r="G207" s="8" t="inlineStr">
        <is>
          <t>Con fuente</t>
        </is>
      </c>
      <c r="H207" s="8" t="n"/>
      <c r="I207" s="8" t="n"/>
      <c r="J207" s="8" t="inlineStr">
        <is>
          <t>cumplimiento</t>
        </is>
      </c>
      <c r="K207" s="8" t="n"/>
      <c r="L207" s="8" t="inlineStr">
        <is>
          <t>Se acumula en el año: se compara con lo esperado a la fecha de corte [CP].</t>
        </is>
      </c>
      <c r="M207" s="8" t="inlineStr">
        <is>
          <t>Acumulado en el año</t>
        </is>
      </c>
      <c r="N207" s="8" t="inlineStr">
        <is>
          <t>Razón al esperado</t>
        </is>
      </c>
      <c r="O207" s="13">
        <f>IFERROR(INDEX(Catalogo!$C$5:$C$129,MATCH(A207,Catalogo!$A$5:$A$129,0)),"")</f>
        <v/>
      </c>
    </row>
    <row r="208">
      <c r="A208" s="13" t="inlineStr">
        <is>
          <t>PEFM-AE.03.04</t>
        </is>
      </c>
      <c r="B208" s="8" t="n">
        <v>2026</v>
      </c>
      <c r="C208" s="8" t="n">
        <v>5</v>
      </c>
      <c r="D208" s="8" t="inlineStr">
        <is>
          <t>Mayor es mejor</t>
        </is>
      </c>
      <c r="E208" s="8" t="inlineStr">
        <is>
          <t>número</t>
        </is>
      </c>
      <c r="F208" s="8" t="inlineStr">
        <is>
          <t>PE FM 2024-2027 [A11], matriz p. 21, código AE.03.04</t>
        </is>
      </c>
      <c r="G208" s="8" t="inlineStr">
        <is>
          <t>Con fuente</t>
        </is>
      </c>
      <c r="H208" s="8" t="n"/>
      <c r="I208" s="8" t="n"/>
      <c r="J208" s="8" t="inlineStr">
        <is>
          <t>cumplimiento</t>
        </is>
      </c>
      <c r="K208" s="8" t="n"/>
      <c r="L208" s="8" t="inlineStr">
        <is>
          <t>Se acumula en el año: se compara con lo esperado a la fecha de corte [CP].</t>
        </is>
      </c>
      <c r="M208" s="8" t="inlineStr">
        <is>
          <t>Acumulado en el año</t>
        </is>
      </c>
      <c r="N208" s="8" t="inlineStr">
        <is>
          <t>Razón al esperado</t>
        </is>
      </c>
      <c r="O208" s="13">
        <f>IFERROR(INDEX(Catalogo!$C$5:$C$129,MATCH(A208,Catalogo!$A$5:$A$129,0)),"")</f>
        <v/>
      </c>
    </row>
    <row r="209">
      <c r="A209" s="13" t="inlineStr">
        <is>
          <t>PEFM-AE.03.04</t>
        </is>
      </c>
      <c r="B209" s="8" t="n">
        <v>2027</v>
      </c>
      <c r="C209" s="8" t="n">
        <v>6</v>
      </c>
      <c r="D209" s="8" t="inlineStr">
        <is>
          <t>Mayor es mejor</t>
        </is>
      </c>
      <c r="E209" s="8" t="inlineStr">
        <is>
          <t>número</t>
        </is>
      </c>
      <c r="F209" s="8" t="inlineStr">
        <is>
          <t>PE FM 2024-2027 [A11], matriz p. 21, código AE.03.04</t>
        </is>
      </c>
      <c r="G209" s="8" t="inlineStr">
        <is>
          <t>Con fuente</t>
        </is>
      </c>
      <c r="H209" s="8" t="n"/>
      <c r="I209" s="8" t="n"/>
      <c r="J209" s="8" t="inlineStr">
        <is>
          <t>cumplimiento</t>
        </is>
      </c>
      <c r="K209" s="8" t="n"/>
      <c r="L209" s="8" t="inlineStr">
        <is>
          <t>Se acumula en el año: se compara con lo esperado a la fecha de corte [CP].</t>
        </is>
      </c>
      <c r="M209" s="8" t="inlineStr">
        <is>
          <t>Acumulado en el año</t>
        </is>
      </c>
      <c r="N209" s="8" t="inlineStr">
        <is>
          <t>Razón al esperado</t>
        </is>
      </c>
      <c r="O209" s="13">
        <f>IFERROR(INDEX(Catalogo!$C$5:$C$129,MATCH(A209,Catalogo!$A$5:$A$129,0)),"")</f>
        <v/>
      </c>
    </row>
    <row r="210">
      <c r="A210" s="13" t="inlineStr">
        <is>
          <t>PEFM-AE.03.05</t>
        </is>
      </c>
      <c r="B210" s="8" t="n">
        <v>2024</v>
      </c>
      <c r="C210" s="8" t="n">
        <v>2</v>
      </c>
      <c r="D210" s="8" t="inlineStr">
        <is>
          <t>Mayor es mejor</t>
        </is>
      </c>
      <c r="E210" s="8" t="inlineStr">
        <is>
          <t>número</t>
        </is>
      </c>
      <c r="F210" s="8" t="inlineStr">
        <is>
          <t>PE - INDICADORES FM. 1.xlsx, hoja 'PE MEDICION 2024 - 2025-I', fila 42, columna LOGRO ESPERADO 2024</t>
        </is>
      </c>
      <c r="G210" s="8" t="inlineStr">
        <is>
          <t>Con fuente</t>
        </is>
      </c>
      <c r="H210" s="8" t="n"/>
      <c r="I210" s="8" t="n"/>
      <c r="J210" s="8" t="inlineStr">
        <is>
          <t>cumplimiento</t>
        </is>
      </c>
      <c r="K210" s="8" t="n"/>
      <c r="L210" s="8" t="inlineStr">
        <is>
          <t>Se acumula en el año: se compara con lo esperado a la fecha de corte [CP].</t>
        </is>
      </c>
      <c r="M210" s="8" t="inlineStr">
        <is>
          <t>Acumulado en el año</t>
        </is>
      </c>
      <c r="N210" s="8" t="inlineStr">
        <is>
          <t>Razón al esperado</t>
        </is>
      </c>
      <c r="O210" s="13">
        <f>IFERROR(INDEX(Catalogo!$C$5:$C$129,MATCH(A210,Catalogo!$A$5:$A$129,0)),"")</f>
        <v/>
      </c>
    </row>
    <row r="211">
      <c r="A211" s="13" t="inlineStr">
        <is>
          <t>PEFM-AE.03.05</t>
        </is>
      </c>
      <c r="B211" s="8" t="n">
        <v>2025</v>
      </c>
      <c r="C211" s="8" t="n">
        <v>4</v>
      </c>
      <c r="D211" s="8" t="inlineStr">
        <is>
          <t>Mayor es mejor</t>
        </is>
      </c>
      <c r="E211" s="8" t="inlineStr">
        <is>
          <t>número</t>
        </is>
      </c>
      <c r="F211" s="8" t="inlineStr">
        <is>
          <t>PE - INDICADORES FM. 1.xlsx, hoja 'PE MEDICION 2024 - 2025-I', fila 42, columna LOGRO ESPERADO 2025</t>
        </is>
      </c>
      <c r="G211" s="8" t="inlineStr">
        <is>
          <t>Con fuente</t>
        </is>
      </c>
      <c r="H211" s="8" t="n"/>
      <c r="I211" s="8" t="n"/>
      <c r="J211" s="8" t="inlineStr">
        <is>
          <t>cumplimiento</t>
        </is>
      </c>
      <c r="K211" s="8" t="n"/>
      <c r="L211" s="8" t="inlineStr">
        <is>
          <t>Se acumula en el año: se compara con lo esperado a la fecha de corte [CP].</t>
        </is>
      </c>
      <c r="M211" s="8" t="inlineStr">
        <is>
          <t>Acumulado en el año</t>
        </is>
      </c>
      <c r="N211" s="8" t="inlineStr">
        <is>
          <t>Razón al esperado</t>
        </is>
      </c>
      <c r="O211" s="13">
        <f>IFERROR(INDEX(Catalogo!$C$5:$C$129,MATCH(A211,Catalogo!$A$5:$A$129,0)),"")</f>
        <v/>
      </c>
    </row>
    <row r="212">
      <c r="A212" s="13" t="inlineStr">
        <is>
          <t>PEFM-AE.03.05</t>
        </is>
      </c>
      <c r="B212" s="8" t="n">
        <v>2026</v>
      </c>
      <c r="C212" s="8" t="n">
        <v>5</v>
      </c>
      <c r="D212" s="8" t="inlineStr">
        <is>
          <t>Mayor es mejor</t>
        </is>
      </c>
      <c r="E212" s="8" t="inlineStr">
        <is>
          <t>número</t>
        </is>
      </c>
      <c r="F212" s="8" t="inlineStr">
        <is>
          <t>PE FM 2024-2027 [A11], matriz p. 21, código AE.03.05</t>
        </is>
      </c>
      <c r="G212" s="8" t="inlineStr">
        <is>
          <t>Con fuente</t>
        </is>
      </c>
      <c r="H212" s="8" t="n"/>
      <c r="I212" s="8" t="n"/>
      <c r="J212" s="8" t="inlineStr">
        <is>
          <t>cumplimiento</t>
        </is>
      </c>
      <c r="K212" s="8" t="n"/>
      <c r="L212" s="8" t="inlineStr">
        <is>
          <t>Se acumula en el año: se compara con lo esperado a la fecha de corte [CP].</t>
        </is>
      </c>
      <c r="M212" s="8" t="inlineStr">
        <is>
          <t>Acumulado en el año</t>
        </is>
      </c>
      <c r="N212" s="8" t="inlineStr">
        <is>
          <t>Razón al esperado</t>
        </is>
      </c>
      <c r="O212" s="13">
        <f>IFERROR(INDEX(Catalogo!$C$5:$C$129,MATCH(A212,Catalogo!$A$5:$A$129,0)),"")</f>
        <v/>
      </c>
    </row>
    <row r="213">
      <c r="A213" s="13" t="inlineStr">
        <is>
          <t>PEFM-AE.03.05</t>
        </is>
      </c>
      <c r="B213" s="8" t="n">
        <v>2027</v>
      </c>
      <c r="C213" s="8" t="n">
        <v>6</v>
      </c>
      <c r="D213" s="8" t="inlineStr">
        <is>
          <t>Mayor es mejor</t>
        </is>
      </c>
      <c r="E213" s="8" t="inlineStr">
        <is>
          <t>número</t>
        </is>
      </c>
      <c r="F213" s="8" t="inlineStr">
        <is>
          <t>PE FM 2024-2027 [A11], matriz p. 21, código AE.03.05</t>
        </is>
      </c>
      <c r="G213" s="8" t="inlineStr">
        <is>
          <t>Con fuente</t>
        </is>
      </c>
      <c r="H213" s="8" t="n"/>
      <c r="I213" s="8" t="n"/>
      <c r="J213" s="8" t="inlineStr">
        <is>
          <t>cumplimiento</t>
        </is>
      </c>
      <c r="K213" s="8" t="n"/>
      <c r="L213" s="8" t="inlineStr">
        <is>
          <t>Se acumula en el año: se compara con lo esperado a la fecha de corte [CP].</t>
        </is>
      </c>
      <c r="M213" s="8" t="inlineStr">
        <is>
          <t>Acumulado en el año</t>
        </is>
      </c>
      <c r="N213" s="8" t="inlineStr">
        <is>
          <t>Razón al esperado</t>
        </is>
      </c>
      <c r="O213" s="13">
        <f>IFERROR(INDEX(Catalogo!$C$5:$C$129,MATCH(A213,Catalogo!$A$5:$A$129,0)),"")</f>
        <v/>
      </c>
    </row>
    <row r="214">
      <c r="A214" s="13" t="inlineStr">
        <is>
          <t>PEFM-OE.04</t>
        </is>
      </c>
      <c r="B214" s="8" t="n">
        <v>2024</v>
      </c>
      <c r="C214" s="8" t="n">
        <v>0.5600000000000001</v>
      </c>
      <c r="D214" s="8" t="inlineStr">
        <is>
          <t>Mayor es mejor</t>
        </is>
      </c>
      <c r="E214" s="8" t="inlineStr">
        <is>
          <t>número</t>
        </is>
      </c>
      <c r="F214" s="8" t="inlineStr">
        <is>
          <t>PE - INDICADORES FM. 1.xlsx, hoja 'PE MEDICION 2024 - 2025-I', fila 45, columna LOGRO ESPERADO 2024</t>
        </is>
      </c>
      <c r="G214" s="8" t="inlineStr">
        <is>
          <t>Con fuente</t>
        </is>
      </c>
      <c r="H214" s="8" t="n"/>
      <c r="I214" s="8" t="n"/>
      <c r="J214" s="8" t="inlineStr">
        <is>
          <t>cumplimiento</t>
        </is>
      </c>
      <c r="K214" s="8" t="n"/>
      <c r="L214" s="8" t="inlineStr">
        <is>
          <t>Porcentaje o índice: un valor parcial queda «En seguimiento» [CP].</t>
        </is>
      </c>
      <c r="M214" s="8" t="inlineStr">
        <is>
          <t>Puntual</t>
        </is>
      </c>
      <c r="N214" s="8" t="inlineStr">
        <is>
          <t>Razón al esperado</t>
        </is>
      </c>
      <c r="O214" s="13">
        <f>IFERROR(INDEX(Catalogo!$C$5:$C$129,MATCH(A214,Catalogo!$A$5:$A$129,0)),"")</f>
        <v/>
      </c>
    </row>
    <row r="215">
      <c r="A215" s="13" t="inlineStr">
        <is>
          <t>PEFM-OE.04</t>
        </is>
      </c>
      <c r="B215" s="8" t="n">
        <v>2025</v>
      </c>
      <c r="C215" s="8" t="n">
        <v>0.5600000000000001</v>
      </c>
      <c r="D215" s="8" t="inlineStr">
        <is>
          <t>Mayor es mejor</t>
        </is>
      </c>
      <c r="E215" s="8" t="inlineStr">
        <is>
          <t>número</t>
        </is>
      </c>
      <c r="F215" s="8" t="inlineStr">
        <is>
          <t>PE - INDICADORES FM. 1.xlsx, hoja 'PE MEDICION 2024 - 2025-I', fila 45, columna LOGRO ESPERADO 2025</t>
        </is>
      </c>
      <c r="G215" s="8" t="inlineStr">
        <is>
          <t>Con fuente</t>
        </is>
      </c>
      <c r="H215" s="8" t="n"/>
      <c r="I215" s="8" t="n"/>
      <c r="J215" s="8" t="inlineStr">
        <is>
          <t>cumplimiento</t>
        </is>
      </c>
      <c r="K215" s="8" t="n"/>
      <c r="L215" s="8" t="inlineStr">
        <is>
          <t>Porcentaje o índice: un valor parcial queda «En seguimiento» [CP].</t>
        </is>
      </c>
      <c r="M215" s="8" t="inlineStr">
        <is>
          <t>Puntual</t>
        </is>
      </c>
      <c r="N215" s="8" t="inlineStr">
        <is>
          <t>Razón al esperado</t>
        </is>
      </c>
      <c r="O215" s="13">
        <f>IFERROR(INDEX(Catalogo!$C$5:$C$129,MATCH(A215,Catalogo!$A$5:$A$129,0)),"")</f>
        <v/>
      </c>
    </row>
    <row r="216">
      <c r="A216" s="13" t="inlineStr">
        <is>
          <t>PEFM-OE.04</t>
        </is>
      </c>
      <c r="B216" s="8" t="n">
        <v>2026</v>
      </c>
      <c r="C216" s="8" t="n">
        <v>0.57</v>
      </c>
      <c r="D216" s="8" t="inlineStr">
        <is>
          <t>Mayor es mejor</t>
        </is>
      </c>
      <c r="E216" s="8" t="inlineStr">
        <is>
          <t>número</t>
        </is>
      </c>
      <c r="F216" s="8" t="inlineStr">
        <is>
          <t>PE FM 2024-2027 [A11], matriz p. 22, código OE.04</t>
        </is>
      </c>
      <c r="G216" s="8" t="inlineStr">
        <is>
          <t>Con fuente</t>
        </is>
      </c>
      <c r="H216" s="8" t="n"/>
      <c r="I216" s="8" t="n"/>
      <c r="J216" s="8" t="inlineStr">
        <is>
          <t>cumplimiento</t>
        </is>
      </c>
      <c r="K216" s="8" t="n"/>
      <c r="L216" s="8" t="inlineStr">
        <is>
          <t>Porcentaje o índice: un valor parcial queda «En seguimiento» [CP].</t>
        </is>
      </c>
      <c r="M216" s="8" t="inlineStr">
        <is>
          <t>Puntual</t>
        </is>
      </c>
      <c r="N216" s="8" t="inlineStr">
        <is>
          <t>Razón al esperado</t>
        </is>
      </c>
      <c r="O216" s="13">
        <f>IFERROR(INDEX(Catalogo!$C$5:$C$129,MATCH(A216,Catalogo!$A$5:$A$129,0)),"")</f>
        <v/>
      </c>
    </row>
    <row r="217">
      <c r="A217" s="13" t="inlineStr">
        <is>
          <t>PEFM-OE.04</t>
        </is>
      </c>
      <c r="B217" s="8" t="n">
        <v>2027</v>
      </c>
      <c r="C217" s="8" t="n">
        <v>0.58</v>
      </c>
      <c r="D217" s="8" t="inlineStr">
        <is>
          <t>Mayor es mejor</t>
        </is>
      </c>
      <c r="E217" s="8" t="inlineStr">
        <is>
          <t>número</t>
        </is>
      </c>
      <c r="F217" s="8" t="inlineStr">
        <is>
          <t>PE FM 2024-2027 [A11], matriz p. 22, código OE.04</t>
        </is>
      </c>
      <c r="G217" s="8" t="inlineStr">
        <is>
          <t>Con fuente</t>
        </is>
      </c>
      <c r="H217" s="8" t="n"/>
      <c r="I217" s="8" t="n"/>
      <c r="J217" s="8" t="inlineStr">
        <is>
          <t>cumplimiento</t>
        </is>
      </c>
      <c r="K217" s="8" t="n"/>
      <c r="L217" s="8" t="inlineStr">
        <is>
          <t>Porcentaje o índice: un valor parcial queda «En seguimiento» [CP].</t>
        </is>
      </c>
      <c r="M217" s="8" t="inlineStr">
        <is>
          <t>Puntual</t>
        </is>
      </c>
      <c r="N217" s="8" t="inlineStr">
        <is>
          <t>Razón al esperado</t>
        </is>
      </c>
      <c r="O217" s="13">
        <f>IFERROR(INDEX(Catalogo!$C$5:$C$129,MATCH(A217,Catalogo!$A$5:$A$129,0)),"")</f>
        <v/>
      </c>
    </row>
    <row r="218">
      <c r="A218" s="13" t="inlineStr">
        <is>
          <t>PEFM-AE.04.01</t>
        </is>
      </c>
      <c r="B218" s="8" t="n">
        <v>2024</v>
      </c>
      <c r="C218" s="8" t="n">
        <v>3</v>
      </c>
      <c r="D218" s="8" t="inlineStr">
        <is>
          <t>Mayor es mejor</t>
        </is>
      </c>
      <c r="E218" s="8" t="inlineStr">
        <is>
          <t>número</t>
        </is>
      </c>
      <c r="F218" s="8" t="inlineStr">
        <is>
          <t>PE - INDICADORES FM. 1.xlsx, hoja 'PE MEDICION 2024 - 2025-I', fila 48, columna LOGRO ESPERADO 2024</t>
        </is>
      </c>
      <c r="G218" s="8" t="inlineStr">
        <is>
          <t>Con fuente</t>
        </is>
      </c>
      <c r="H218" s="8" t="n"/>
      <c r="I218" s="8" t="n"/>
      <c r="J218" s="8" t="inlineStr">
        <is>
          <t>cumplimiento</t>
        </is>
      </c>
      <c r="K218" s="8" t="n"/>
      <c r="L218" s="8" t="inlineStr">
        <is>
          <t>Se acumula en el año: se compara con lo esperado a la fecha de corte [CP].</t>
        </is>
      </c>
      <c r="M218" s="8" t="inlineStr">
        <is>
          <t>Acumulado en el año</t>
        </is>
      </c>
      <c r="N218" s="8" t="inlineStr">
        <is>
          <t>Razón al esperado</t>
        </is>
      </c>
      <c r="O218" s="13">
        <f>IFERROR(INDEX(Catalogo!$C$5:$C$129,MATCH(A218,Catalogo!$A$5:$A$129,0)),"")</f>
        <v/>
      </c>
    </row>
    <row r="219">
      <c r="A219" s="13" t="inlineStr">
        <is>
          <t>PEFM-AE.04.01</t>
        </is>
      </c>
      <c r="B219" s="8" t="n">
        <v>2025</v>
      </c>
      <c r="C219" s="8" t="n">
        <v>5</v>
      </c>
      <c r="D219" s="8" t="inlineStr">
        <is>
          <t>Mayor es mejor</t>
        </is>
      </c>
      <c r="E219" s="8" t="inlineStr">
        <is>
          <t>número</t>
        </is>
      </c>
      <c r="F219" s="8" t="inlineStr">
        <is>
          <t>PE - INDICADORES FM. 1.xlsx, hoja 'PE MEDICION 2024 - 2025-I', fila 48, columna LOGRO ESPERADO 2025</t>
        </is>
      </c>
      <c r="G219" s="8" t="inlineStr">
        <is>
          <t>Con fuente</t>
        </is>
      </c>
      <c r="H219" s="8" t="n"/>
      <c r="I219" s="8" t="n"/>
      <c r="J219" s="8" t="inlineStr">
        <is>
          <t>cumplimiento</t>
        </is>
      </c>
      <c r="K219" s="8" t="n"/>
      <c r="L219" s="8" t="inlineStr">
        <is>
          <t>Se acumula en el año: se compara con lo esperado a la fecha de corte [CP].</t>
        </is>
      </c>
      <c r="M219" s="8" t="inlineStr">
        <is>
          <t>Acumulado en el año</t>
        </is>
      </c>
      <c r="N219" s="8" t="inlineStr">
        <is>
          <t>Razón al esperado</t>
        </is>
      </c>
      <c r="O219" s="13">
        <f>IFERROR(INDEX(Catalogo!$C$5:$C$129,MATCH(A219,Catalogo!$A$5:$A$129,0)),"")</f>
        <v/>
      </c>
    </row>
    <row r="220">
      <c r="A220" s="13" t="inlineStr">
        <is>
          <t>PEFM-AE.04.01</t>
        </is>
      </c>
      <c r="B220" s="8" t="n">
        <v>2026</v>
      </c>
      <c r="C220" s="8" t="n">
        <v>7</v>
      </c>
      <c r="D220" s="8" t="inlineStr">
        <is>
          <t>Mayor es mejor</t>
        </is>
      </c>
      <c r="E220" s="8" t="inlineStr">
        <is>
          <t>número</t>
        </is>
      </c>
      <c r="F220" s="8" t="inlineStr">
        <is>
          <t>PE FM 2024-2027 [A11], matriz p. 22, código AE.04.01</t>
        </is>
      </c>
      <c r="G220" s="8" t="inlineStr">
        <is>
          <t>Con fuente</t>
        </is>
      </c>
      <c r="H220" s="8" t="n"/>
      <c r="I220" s="8" t="n"/>
      <c r="J220" s="8" t="inlineStr">
        <is>
          <t>cumplimiento</t>
        </is>
      </c>
      <c r="K220" s="8" t="n"/>
      <c r="L220" s="8" t="inlineStr">
        <is>
          <t>Se acumula en el año: se compara con lo esperado a la fecha de corte [CP].</t>
        </is>
      </c>
      <c r="M220" s="8" t="inlineStr">
        <is>
          <t>Acumulado en el año</t>
        </is>
      </c>
      <c r="N220" s="8" t="inlineStr">
        <is>
          <t>Razón al esperado</t>
        </is>
      </c>
      <c r="O220" s="13">
        <f>IFERROR(INDEX(Catalogo!$C$5:$C$129,MATCH(A220,Catalogo!$A$5:$A$129,0)),"")</f>
        <v/>
      </c>
    </row>
    <row r="221">
      <c r="A221" s="13" t="inlineStr">
        <is>
          <t>PEFM-AE.04.01</t>
        </is>
      </c>
      <c r="B221" s="8" t="n">
        <v>2027</v>
      </c>
      <c r="C221" s="8" t="n">
        <v>9</v>
      </c>
      <c r="D221" s="8" t="inlineStr">
        <is>
          <t>Mayor es mejor</t>
        </is>
      </c>
      <c r="E221" s="8" t="inlineStr">
        <is>
          <t>número</t>
        </is>
      </c>
      <c r="F221" s="8" t="inlineStr">
        <is>
          <t>PE FM 2024-2027 [A11], matriz p. 22, código AE.04.01</t>
        </is>
      </c>
      <c r="G221" s="8" t="inlineStr">
        <is>
          <t>Con fuente</t>
        </is>
      </c>
      <c r="H221" s="8" t="n"/>
      <c r="I221" s="8" t="n"/>
      <c r="J221" s="8" t="inlineStr">
        <is>
          <t>cumplimiento</t>
        </is>
      </c>
      <c r="K221" s="8" t="n"/>
      <c r="L221" s="8" t="inlineStr">
        <is>
          <t>Se acumula en el año: se compara con lo esperado a la fecha de corte [CP].</t>
        </is>
      </c>
      <c r="M221" s="8" t="inlineStr">
        <is>
          <t>Acumulado en el año</t>
        </is>
      </c>
      <c r="N221" s="8" t="inlineStr">
        <is>
          <t>Razón al esperado</t>
        </is>
      </c>
      <c r="O221" s="13">
        <f>IFERROR(INDEX(Catalogo!$C$5:$C$129,MATCH(A221,Catalogo!$A$5:$A$129,0)),"")</f>
        <v/>
      </c>
    </row>
    <row r="222">
      <c r="A222" s="13" t="inlineStr">
        <is>
          <t>PEFM-AE.04.02</t>
        </is>
      </c>
      <c r="B222" s="8" t="n">
        <v>2024</v>
      </c>
      <c r="C222" s="8" t="n">
        <v>100</v>
      </c>
      <c r="D222" s="8" t="inlineStr">
        <is>
          <t>Mayor es mejor</t>
        </is>
      </c>
      <c r="E222" s="8" t="inlineStr">
        <is>
          <t>%</t>
        </is>
      </c>
      <c r="F222" s="8" t="inlineStr">
        <is>
          <t>PE - INDICADORES FM. 1.xlsx, hoja 'PE MEDICION 2024 - 2025-I', fila 49, columna LOGRO ESPERADO 2024</t>
        </is>
      </c>
      <c r="G222" s="8" t="inlineStr">
        <is>
          <t>Con fuente</t>
        </is>
      </c>
      <c r="H222" s="8" t="n"/>
      <c r="I222" s="8" t="n"/>
      <c r="J222" s="8" t="inlineStr">
        <is>
          <t>cumplimiento</t>
        </is>
      </c>
      <c r="K222" s="8" t="n"/>
      <c r="L222" s="8" t="inlineStr">
        <is>
          <t>Se acumula en el año: se compara con lo esperado a la fecha de corte [CP].</t>
        </is>
      </c>
      <c r="M222" s="8" t="inlineStr">
        <is>
          <t>Acumulado en el año</t>
        </is>
      </c>
      <c r="N222" s="8" t="inlineStr">
        <is>
          <t>Razón al esperado</t>
        </is>
      </c>
      <c r="O222" s="13">
        <f>IFERROR(INDEX(Catalogo!$C$5:$C$129,MATCH(A222,Catalogo!$A$5:$A$129,0)),"")</f>
        <v/>
      </c>
    </row>
    <row r="223">
      <c r="A223" s="13" t="inlineStr">
        <is>
          <t>PEFM-AE.04.02</t>
        </is>
      </c>
      <c r="B223" s="8" t="n">
        <v>2025</v>
      </c>
      <c r="C223" s="8" t="n">
        <v>100</v>
      </c>
      <c r="D223" s="8" t="inlineStr">
        <is>
          <t>Mayor es mejor</t>
        </is>
      </c>
      <c r="E223" s="8" t="inlineStr">
        <is>
          <t>%</t>
        </is>
      </c>
      <c r="F223" s="8" t="inlineStr">
        <is>
          <t>PE - INDICADORES FM. 1.xlsx, hoja 'PE MEDICION 2024 - 2025-I', fila 49, columna LOGRO ESPERADO 2025</t>
        </is>
      </c>
      <c r="G223" s="8" t="inlineStr">
        <is>
          <t>Con fuente</t>
        </is>
      </c>
      <c r="H223" s="8" t="n"/>
      <c r="I223" s="8" t="n"/>
      <c r="J223" s="8" t="inlineStr">
        <is>
          <t>cumplimiento</t>
        </is>
      </c>
      <c r="K223" s="8" t="n"/>
      <c r="L223" s="8" t="inlineStr">
        <is>
          <t>Se acumula en el año: se compara con lo esperado a la fecha de corte [CP].</t>
        </is>
      </c>
      <c r="M223" s="8" t="inlineStr">
        <is>
          <t>Acumulado en el año</t>
        </is>
      </c>
      <c r="N223" s="8" t="inlineStr">
        <is>
          <t>Razón al esperado</t>
        </is>
      </c>
      <c r="O223" s="13">
        <f>IFERROR(INDEX(Catalogo!$C$5:$C$129,MATCH(A223,Catalogo!$A$5:$A$129,0)),"")</f>
        <v/>
      </c>
    </row>
    <row r="224">
      <c r="A224" s="13" t="inlineStr">
        <is>
          <t>PEFM-AE.04.02</t>
        </is>
      </c>
      <c r="B224" s="8" t="n">
        <v>2026</v>
      </c>
      <c r="C224" s="8" t="n">
        <v>100</v>
      </c>
      <c r="D224" s="8" t="inlineStr">
        <is>
          <t>Mayor es mejor</t>
        </is>
      </c>
      <c r="E224" s="8" t="inlineStr">
        <is>
          <t>%</t>
        </is>
      </c>
      <c r="F224" s="8" t="inlineStr">
        <is>
          <t>PE FM 2024-2027 [A11], matriz p. 22, código AE.04.02</t>
        </is>
      </c>
      <c r="G224" s="8" t="inlineStr">
        <is>
          <t>Con fuente</t>
        </is>
      </c>
      <c r="H224" s="8" t="n"/>
      <c r="I224" s="8" t="n"/>
      <c r="J224" s="8" t="inlineStr">
        <is>
          <t>cumplimiento</t>
        </is>
      </c>
      <c r="K224" s="8" t="n"/>
      <c r="L224" s="8" t="inlineStr">
        <is>
          <t>Se acumula en el año: se compara con lo esperado a la fecha de corte [CP].</t>
        </is>
      </c>
      <c r="M224" s="8" t="inlineStr">
        <is>
          <t>Acumulado en el año</t>
        </is>
      </c>
      <c r="N224" s="8" t="inlineStr">
        <is>
          <t>Razón al esperado</t>
        </is>
      </c>
      <c r="O224" s="13">
        <f>IFERROR(INDEX(Catalogo!$C$5:$C$129,MATCH(A224,Catalogo!$A$5:$A$129,0)),"")</f>
        <v/>
      </c>
    </row>
    <row r="225">
      <c r="A225" s="13" t="inlineStr">
        <is>
          <t>PEFM-AE.04.02</t>
        </is>
      </c>
      <c r="B225" s="8" t="n">
        <v>2027</v>
      </c>
      <c r="C225" s="8" t="n">
        <v>100</v>
      </c>
      <c r="D225" s="8" t="inlineStr">
        <is>
          <t>Mayor es mejor</t>
        </is>
      </c>
      <c r="E225" s="8" t="inlineStr">
        <is>
          <t>%</t>
        </is>
      </c>
      <c r="F225" s="8" t="inlineStr">
        <is>
          <t>PE FM 2024-2027 [A11], matriz p. 22, código AE.04.02</t>
        </is>
      </c>
      <c r="G225" s="8" t="inlineStr">
        <is>
          <t>Con fuente</t>
        </is>
      </c>
      <c r="H225" s="8" t="n"/>
      <c r="I225" s="8" t="n"/>
      <c r="J225" s="8" t="inlineStr">
        <is>
          <t>cumplimiento</t>
        </is>
      </c>
      <c r="K225" s="8" t="n"/>
      <c r="L225" s="8" t="inlineStr">
        <is>
          <t>Se acumula en el año: se compara con lo esperado a la fecha de corte [CP].</t>
        </is>
      </c>
      <c r="M225" s="8" t="inlineStr">
        <is>
          <t>Acumulado en el año</t>
        </is>
      </c>
      <c r="N225" s="8" t="inlineStr">
        <is>
          <t>Razón al esperado</t>
        </is>
      </c>
      <c r="O225" s="13">
        <f>IFERROR(INDEX(Catalogo!$C$5:$C$129,MATCH(A225,Catalogo!$A$5:$A$129,0)),"")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7">
    <dataValidation sqref="D5:D225" showDropDown="0" showInputMessage="0" showErrorMessage="1" allowBlank="1" errorTitle="Valor no válido" error="Elige un valor de la lista." type="list">
      <formula1>"Mayor es mejor,Menor es mejor,Por definir"</formula1>
    </dataValidation>
    <dataValidation sqref="E5:E225" showDropDown="0" showInputMessage="0" showErrorMessage="1" allowBlank="1" errorTitle="Valor no válido" error="Elige un valor de la lista." type="list">
      <formula1>"%,días,años,número,por definir"</formula1>
    </dataValidation>
    <dataValidation sqref="G5:G225" showDropDown="0" showInputMessage="0" showErrorMessage="1" allowBlank="1" errorTitle="Valor no válido" error="Elige un valor de la lista." type="list">
      <formula1>"Con fuente,Por definir,Por confirmar,En conflicto"</formula1>
    </dataValidation>
    <dataValidation sqref="J5:J225" showDropDown="0" showInputMessage="0" showErrorMessage="1" allowBlank="1" errorTitle="Valor no válido" error="Elige un valor de la lista." type="list">
      <formula1>"cumplimiento,valor"</formula1>
    </dataValidation>
    <dataValidation sqref="M5:M225" showDropDown="0" showInputMessage="1" showErrorMessage="1" allowBlank="1" errorTitle="Valor no válido" error="Elige un valor de la lista." promptTitle="Tipo de avance" prompt="Puntual: el valor se compara con la meta. Acumulado en el año: se compara con lo esperado a la fecha de corte." type="list">
      <formula1>"Puntual,Acumulado en el año"</formula1>
    </dataValidation>
    <dataValidation sqref="N5:N225" showDropDown="0" showInputMessage="1" showErrorMessage="1" allowBlank="1" errorTitle="Valor no válido" error="Elige un valor de la lista." promptTitle="Regla de cumplimiento" prompt="Razón al esperado: lo habitual. Tiempos (ID25, ID26): cumple si es menor o igual al referencial. Variación (ID6): cumple si no es negativa." type="list">
      <formula1>"Razón al esperado,Cumple si es menor o igual al referencial,Cumple si la variación es mayor o igual a 0"</formula1>
    </dataValidation>
    <dataValidation sqref="H5:I225" showDropDown="0" showInputMessage="0" showErrorMessage="1" allowBlank="1" errorTitle="Umbral" error="Escribe un porcentaje entre 0 y 200." type="decimal" operator="between">
      <formula1>0</formula1>
      <formula2>200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52" customWidth="1" min="3" max="3"/>
    <col width="52" customWidth="1" min="4" max="4"/>
    <col width="40" customWidth="1" min="5" max="5"/>
    <col width="12" customWidth="1" min="6" max="6"/>
    <col width="10" customWidth="1" min="7" max="7"/>
    <col width="16" customWidth="1" min="8" max="8"/>
    <col width="36" customWidth="1" min="9" max="9"/>
    <col width="18" customWidth="1" min="10" max="10"/>
    <col width="18" customWidth="1" min="11" max="11"/>
    <col width="22" customWidth="1" min="12" max="12"/>
  </cols>
  <sheetData>
    <row r="1">
      <c r="A1" s="1" t="inlineStr">
        <is>
          <t>Catálogo de indicadores que se cargan</t>
        </is>
      </c>
    </row>
    <row r="2">
      <c r="A2" s="2" t="inlineStr">
        <is>
          <t>125 indicadores: 29 del modelo CONEAU 2026 [A4] y 96 indicadores de proceso del tablero v0.2. Los 22 indicadores de proceso que miden lo mismo que un indicador SINEACE no se cargan: toman su dato.</t>
        </is>
      </c>
    </row>
    <row r="4" ht="32" customHeight="1">
      <c r="A4" s="5" t="inlineStr">
        <is>
          <t>indicador_id</t>
        </is>
      </c>
      <c r="B4" s="5" t="inlineStr">
        <is>
          <t>tipo</t>
        </is>
      </c>
      <c r="C4" s="5" t="inlineStr">
        <is>
          <t>nombre</t>
        </is>
      </c>
      <c r="D4" s="5" t="inlineStr">
        <is>
          <t>fórmula</t>
        </is>
      </c>
      <c r="E4" s="5" t="inlineStr">
        <is>
          <t>fuente del dato (catálogo)</t>
        </is>
      </c>
      <c r="F4" s="5" t="inlineStr">
        <is>
          <t>frecuencia</t>
        </is>
      </c>
      <c r="G4" s="5" t="inlineStr">
        <is>
          <t>unidad</t>
        </is>
      </c>
      <c r="H4" s="5" t="inlineStr">
        <is>
          <t>sentido</t>
        </is>
      </c>
      <c r="I4" s="5" t="inlineStr">
        <is>
          <t>responsable (por confirmar)</t>
        </is>
      </c>
      <c r="J4" s="5" t="inlineStr">
        <is>
          <t>ficha SGC</t>
        </is>
      </c>
      <c r="K4" s="5" t="inlineStr">
        <is>
          <t>estándar(es) CONEAU</t>
        </is>
      </c>
      <c r="L4" s="5" t="inlineStr">
        <is>
          <t>mide también a</t>
        </is>
      </c>
    </row>
    <row r="5">
      <c r="A5" s="4" t="inlineStr">
        <is>
          <t>ID1</t>
        </is>
      </c>
      <c r="B5" s="4" t="inlineStr">
        <is>
          <t>SINEACE</t>
        </is>
      </c>
      <c r="C5" s="4" t="inlineStr">
        <is>
          <t>Porcentaje de estudiantes satisfechos con el currículo</t>
        </is>
      </c>
      <c r="D5" s="4" t="inlineStr">
        <is>
          <t>Según la ficha del indicador en el modelo CONEAU [A4]</t>
        </is>
      </c>
      <c r="E5" s="4" t="inlineStr">
        <is>
          <t>Encuestas y registros de la escuela [CP]</t>
        </is>
      </c>
      <c r="F5" s="4" t="inlineStr">
        <is>
          <t>Anual</t>
        </is>
      </c>
      <c r="G5" s="4" t="inlineStr">
        <is>
          <t>%</t>
        </is>
      </c>
      <c r="H5" s="4" t="inlineStr">
        <is>
          <t>Mayor es mejor</t>
        </is>
      </c>
      <c r="I5" s="4" t="inlineStr">
        <is>
          <t>Por confirmar</t>
        </is>
      </c>
      <c r="J5" s="4" t="inlineStr">
        <is>
          <t>ME01</t>
        </is>
      </c>
      <c r="K5" s="4" t="inlineStr">
        <is>
          <t>E2, E3, E8</t>
        </is>
      </c>
      <c r="L5" s="4" t="inlineStr">
        <is>
          <t>PM01-I1</t>
        </is>
      </c>
    </row>
    <row r="6">
      <c r="A6" s="4" t="inlineStr">
        <is>
          <t>ID2</t>
        </is>
      </c>
      <c r="B6" s="4" t="inlineStr">
        <is>
          <t>SINEACE</t>
        </is>
      </c>
      <c r="C6" s="4" t="inlineStr">
        <is>
          <t>Porcentaje de estudiantes satisfechos con el desempeño docente</t>
        </is>
      </c>
      <c r="D6" s="4" t="inlineStr">
        <is>
          <t>Según la ficha del indicador en el modelo CONEAU [A4]</t>
        </is>
      </c>
      <c r="E6" s="4" t="inlineStr">
        <is>
          <t>Encuestas y registros de la escuela [CP]</t>
        </is>
      </c>
      <c r="F6" s="4" t="inlineStr">
        <is>
          <t>Anual</t>
        </is>
      </c>
      <c r="G6" s="4" t="inlineStr">
        <is>
          <t>%</t>
        </is>
      </c>
      <c r="H6" s="4" t="inlineStr">
        <is>
          <t>Mayor es mejor</t>
        </is>
      </c>
      <c r="I6" s="4" t="inlineStr">
        <is>
          <t>Por confirmar</t>
        </is>
      </c>
      <c r="J6" s="4" t="inlineStr">
        <is>
          <t>ME01, PS01</t>
        </is>
      </c>
      <c r="K6" s="4" t="inlineStr">
        <is>
          <t>E4, E8</t>
        </is>
      </c>
      <c r="L6" s="4" t="inlineStr"/>
    </row>
    <row r="7">
      <c r="A7" s="4" t="inlineStr">
        <is>
          <t>ID3</t>
        </is>
      </c>
      <c r="B7" s="4" t="inlineStr">
        <is>
          <t>SINEACE</t>
        </is>
      </c>
      <c r="C7" s="4" t="inlineStr">
        <is>
          <t>Porcentaje de estudiantes satisfechos con los recursos para la enseñanza-aprendizaje</t>
        </is>
      </c>
      <c r="D7" s="4" t="inlineStr">
        <is>
          <t>Según la ficha del indicador en el modelo CONEAU [A4]</t>
        </is>
      </c>
      <c r="E7" s="4" t="inlineStr">
        <is>
          <t>Encuestas y registros de la escuela [CP]</t>
        </is>
      </c>
      <c r="F7" s="4" t="inlineStr">
        <is>
          <t>Anual</t>
        </is>
      </c>
      <c r="G7" s="4" t="inlineStr">
        <is>
          <t>%</t>
        </is>
      </c>
      <c r="H7" s="4" t="inlineStr">
        <is>
          <t>Mayor es mejor</t>
        </is>
      </c>
      <c r="I7" s="4" t="inlineStr">
        <is>
          <t>Por confirmar</t>
        </is>
      </c>
      <c r="J7" s="4" t="inlineStr">
        <is>
          <t>ME01</t>
        </is>
      </c>
      <c r="K7" s="4" t="inlineStr">
        <is>
          <t>E3, E5, E8</t>
        </is>
      </c>
      <c r="L7" s="4" t="inlineStr">
        <is>
          <t>PS03-I3, PS04-I2</t>
        </is>
      </c>
    </row>
    <row r="8">
      <c r="A8" s="4" t="inlineStr">
        <is>
          <t>ID4</t>
        </is>
      </c>
      <c r="B8" s="4" t="inlineStr">
        <is>
          <t>SINEACE</t>
        </is>
      </c>
      <c r="C8" s="4" t="inlineStr">
        <is>
          <t>Porcentaje de estudiantes satisfechos con la evaluación del aprendizaje</t>
        </is>
      </c>
      <c r="D8" s="4" t="inlineStr">
        <is>
          <t>Según la ficha del indicador en el modelo CONEAU [A4]</t>
        </is>
      </c>
      <c r="E8" s="4" t="inlineStr">
        <is>
          <t>Encuestas y registros de la escuela [CP]</t>
        </is>
      </c>
      <c r="F8" s="4" t="inlineStr">
        <is>
          <t>Anual</t>
        </is>
      </c>
      <c r="G8" s="4" t="inlineStr">
        <is>
          <t>%</t>
        </is>
      </c>
      <c r="H8" s="4" t="inlineStr">
        <is>
          <t>Mayor es mejor</t>
        </is>
      </c>
      <c r="I8" s="4" t="inlineStr">
        <is>
          <t>Por confirmar</t>
        </is>
      </c>
      <c r="J8" s="4" t="inlineStr">
        <is>
          <t>ME01, ME02</t>
        </is>
      </c>
      <c r="K8" s="4" t="inlineStr">
        <is>
          <t>E3, E4, E8</t>
        </is>
      </c>
      <c r="L8" s="4" t="inlineStr">
        <is>
          <t>PM03-I3</t>
        </is>
      </c>
    </row>
    <row r="9">
      <c r="A9" s="4" t="inlineStr">
        <is>
          <t>ID5</t>
        </is>
      </c>
      <c r="B9" s="4" t="inlineStr">
        <is>
          <t>SINEACE</t>
        </is>
      </c>
      <c r="C9" s="4" t="inlineStr">
        <is>
          <t>Porcentaje de estudiantes satisfechos con la asesoría o tutoría para la obtención del título</t>
        </is>
      </c>
      <c r="D9" s="4" t="inlineStr">
        <is>
          <t>Según la ficha del indicador en el modelo CONEAU [A4]</t>
        </is>
      </c>
      <c r="E9" s="4" t="inlineStr">
        <is>
          <t>Encuestas y registros de la escuela [CP]</t>
        </is>
      </c>
      <c r="F9" s="4" t="inlineStr">
        <is>
          <t>Semestral</t>
        </is>
      </c>
      <c r="G9" s="4" t="inlineStr">
        <is>
          <t>%</t>
        </is>
      </c>
      <c r="H9" s="4" t="inlineStr">
        <is>
          <t>Mayor es mejor</t>
        </is>
      </c>
      <c r="I9" s="4" t="inlineStr">
        <is>
          <t>Por confirmar</t>
        </is>
      </c>
      <c r="J9" s="4" t="inlineStr">
        <is>
          <t>ME01, PM05</t>
        </is>
      </c>
      <c r="K9" s="4" t="inlineStr">
        <is>
          <t>E3, E8</t>
        </is>
      </c>
      <c r="L9" s="4" t="inlineStr">
        <is>
          <t>PM05-I1</t>
        </is>
      </c>
    </row>
    <row r="10">
      <c r="A10" s="4" t="inlineStr">
        <is>
          <t>ID6</t>
        </is>
      </c>
      <c r="B10" s="4" t="inlineStr">
        <is>
          <t>SINEACE</t>
        </is>
      </c>
      <c r="C10" s="4" t="inlineStr">
        <is>
          <t>Evolución del porcentaje de postulantes al programa</t>
        </is>
      </c>
      <c r="D10" s="4" t="inlineStr">
        <is>
          <t>Según la ficha del indicador en el modelo CONEAU [A4]</t>
        </is>
      </c>
      <c r="E10" s="4" t="inlineStr">
        <is>
          <t>Encuestas y registros de la escuela [CP]</t>
        </is>
      </c>
      <c r="F10" s="4" t="inlineStr">
        <is>
          <t>Anual</t>
        </is>
      </c>
      <c r="G10" s="4" t="inlineStr">
        <is>
          <t>%</t>
        </is>
      </c>
      <c r="H10" s="4" t="inlineStr">
        <is>
          <t>Mayor es mejor</t>
        </is>
      </c>
      <c r="I10" s="4" t="inlineStr">
        <is>
          <t>Por confirmar</t>
        </is>
      </c>
      <c r="J10" s="4" t="inlineStr">
        <is>
          <t>PM02, ME03</t>
        </is>
      </c>
      <c r="K10" s="4" t="inlineStr">
        <is>
          <t>E8</t>
        </is>
      </c>
      <c r="L10" s="4" t="inlineStr">
        <is>
          <t>PM02-I1</t>
        </is>
      </c>
    </row>
    <row r="11">
      <c r="A11" s="4" t="inlineStr">
        <is>
          <t>ID7</t>
        </is>
      </c>
      <c r="B11" s="4" t="inlineStr">
        <is>
          <t>SINEACE</t>
        </is>
      </c>
      <c r="C11" s="4" t="inlineStr">
        <is>
          <t>Porcentaje de estudiantes satisfechos con los programas de bienestar y actividades recreativas, culturales, artísticas y deportivas</t>
        </is>
      </c>
      <c r="D11" s="4" t="inlineStr">
        <is>
          <t>Según la ficha del indicador en el modelo CONEAU [A4]</t>
        </is>
      </c>
      <c r="E11" s="4" t="inlineStr">
        <is>
          <t>Encuestas y registros de la escuela [CP]</t>
        </is>
      </c>
      <c r="F11" s="4" t="inlineStr">
        <is>
          <t>Anual</t>
        </is>
      </c>
      <c r="G11" s="4" t="inlineStr">
        <is>
          <t>%</t>
        </is>
      </c>
      <c r="H11" s="4" t="inlineStr">
        <is>
          <t>Mayor es mejor</t>
        </is>
      </c>
      <c r="I11" s="4" t="inlineStr">
        <is>
          <t>Por confirmar</t>
        </is>
      </c>
      <c r="J11" s="4" t="inlineStr">
        <is>
          <t>ME01, PM05</t>
        </is>
      </c>
      <c r="K11" s="4" t="inlineStr">
        <is>
          <t>E7, E8</t>
        </is>
      </c>
      <c r="L11" s="4" t="inlineStr"/>
    </row>
    <row r="12">
      <c r="A12" s="4" t="inlineStr">
        <is>
          <t>ID8</t>
        </is>
      </c>
      <c r="B12" s="4" t="inlineStr">
        <is>
          <t>SINEACE</t>
        </is>
      </c>
      <c r="C12" s="4" t="inlineStr">
        <is>
          <t>Porcentaje de estudiantes satisfechos con los procedimientos de los servicios administrativos</t>
        </is>
      </c>
      <c r="D12" s="4" t="inlineStr">
        <is>
          <t>Según la ficha del indicador en el modelo CONEAU [A4]</t>
        </is>
      </c>
      <c r="E12" s="4" t="inlineStr">
        <is>
          <t>Encuestas y registros de la escuela [CP]</t>
        </is>
      </c>
      <c r="F12" s="4" t="inlineStr">
        <is>
          <t>Anual</t>
        </is>
      </c>
      <c r="G12" s="4" t="inlineStr">
        <is>
          <t>%</t>
        </is>
      </c>
      <c r="H12" s="4" t="inlineStr">
        <is>
          <t>Mayor es mejor</t>
        </is>
      </c>
      <c r="I12" s="4" t="inlineStr">
        <is>
          <t>Por confirmar</t>
        </is>
      </c>
      <c r="J12" s="4" t="inlineStr">
        <is>
          <t>ME01, PS02</t>
        </is>
      </c>
      <c r="K12" s="4" t="inlineStr">
        <is>
          <t>E1, E8</t>
        </is>
      </c>
      <c r="L12" s="4" t="inlineStr"/>
    </row>
    <row r="13">
      <c r="A13" s="4" t="inlineStr">
        <is>
          <t>ID9</t>
        </is>
      </c>
      <c r="B13" s="4" t="inlineStr">
        <is>
          <t>SINEACE</t>
        </is>
      </c>
      <c r="C13" s="4" t="inlineStr">
        <is>
          <t>Porcentaje de estudiantes satisfechos con los servicios de apoyo pedagógico</t>
        </is>
      </c>
      <c r="D13" s="4" t="inlineStr">
        <is>
          <t>Según la ficha del indicador en el modelo CONEAU [A4]</t>
        </is>
      </c>
      <c r="E13" s="4" t="inlineStr">
        <is>
          <t>Encuestas y registros de la escuela [CP]</t>
        </is>
      </c>
      <c r="F13" s="4" t="inlineStr">
        <is>
          <t>Semestral</t>
        </is>
      </c>
      <c r="G13" s="4" t="inlineStr">
        <is>
          <t>%</t>
        </is>
      </c>
      <c r="H13" s="4" t="inlineStr">
        <is>
          <t>Mayor es mejor</t>
        </is>
      </c>
      <c r="I13" s="4" t="inlineStr">
        <is>
          <t>Por confirmar</t>
        </is>
      </c>
      <c r="J13" s="4" t="inlineStr">
        <is>
          <t>ME01, PM05</t>
        </is>
      </c>
      <c r="K13" s="4" t="inlineStr">
        <is>
          <t>E3, E7, E8</t>
        </is>
      </c>
      <c r="L13" s="4" t="inlineStr">
        <is>
          <t>PM05-I2</t>
        </is>
      </c>
    </row>
    <row r="14">
      <c r="A14" s="4" t="inlineStr">
        <is>
          <t>ID10</t>
        </is>
      </c>
      <c r="B14" s="4" t="inlineStr">
        <is>
          <t>SINEACE</t>
        </is>
      </c>
      <c r="C14" s="4" t="inlineStr">
        <is>
          <t>Porcentaje de estudiantes aprobados por asignatura</t>
        </is>
      </c>
      <c r="D14" s="4" t="inlineStr">
        <is>
          <t>Según la ficha del indicador en el modelo CONEAU [A4]</t>
        </is>
      </c>
      <c r="E14" s="4" t="inlineStr">
        <is>
          <t>Encuestas y registros de la escuela [CP]</t>
        </is>
      </c>
      <c r="F14" s="4" t="inlineStr">
        <is>
          <t>Semestral</t>
        </is>
      </c>
      <c r="G14" s="4" t="inlineStr">
        <is>
          <t>%</t>
        </is>
      </c>
      <c r="H14" s="4" t="inlineStr">
        <is>
          <t>Mayor es mejor</t>
        </is>
      </c>
      <c r="I14" s="4" t="inlineStr">
        <is>
          <t>Por confirmar</t>
        </is>
      </c>
      <c r="J14" s="4" t="inlineStr">
        <is>
          <t>ME02, PM03</t>
        </is>
      </c>
      <c r="K14" s="4" t="inlineStr">
        <is>
          <t>E3, E6, E8</t>
        </is>
      </c>
      <c r="L14" s="4" t="inlineStr">
        <is>
          <t>PM03-I2, ME02-I2</t>
        </is>
      </c>
    </row>
    <row r="15">
      <c r="A15" s="4" t="inlineStr">
        <is>
          <t>ID11</t>
        </is>
      </c>
      <c r="B15" s="4" t="inlineStr">
        <is>
          <t>SINEACE</t>
        </is>
      </c>
      <c r="C15" s="4" t="inlineStr">
        <is>
          <t>Porcentaje de cumplimiento de los sílabos</t>
        </is>
      </c>
      <c r="D15" s="4" t="inlineStr">
        <is>
          <t>Según la ficha del indicador en el modelo CONEAU [A4]</t>
        </is>
      </c>
      <c r="E15" s="4" t="inlineStr">
        <is>
          <t>Encuestas y registros de la escuela [CP]</t>
        </is>
      </c>
      <c r="F15" s="4" t="inlineStr">
        <is>
          <t>Semestral</t>
        </is>
      </c>
      <c r="G15" s="4" t="inlineStr">
        <is>
          <t>%</t>
        </is>
      </c>
      <c r="H15" s="4" t="inlineStr">
        <is>
          <t>Mayor es mejor</t>
        </is>
      </c>
      <c r="I15" s="4" t="inlineStr">
        <is>
          <t>Por confirmar</t>
        </is>
      </c>
      <c r="J15" s="4" t="inlineStr">
        <is>
          <t>PM03, ME03</t>
        </is>
      </c>
      <c r="K15" s="4" t="inlineStr">
        <is>
          <t>E2, E9</t>
        </is>
      </c>
      <c r="L15" s="4" t="inlineStr">
        <is>
          <t>PM03-I1</t>
        </is>
      </c>
    </row>
    <row r="16">
      <c r="A16" s="4" t="inlineStr">
        <is>
          <t>ID12</t>
        </is>
      </c>
      <c r="B16" s="4" t="inlineStr">
        <is>
          <t>SINEACE</t>
        </is>
      </c>
      <c r="C16" s="4" t="inlineStr">
        <is>
          <t>Porcentaje de docentes satisfechos con el currículo</t>
        </is>
      </c>
      <c r="D16" s="4" t="inlineStr">
        <is>
          <t>Según la ficha del indicador en el modelo CONEAU [A4]</t>
        </is>
      </c>
      <c r="E16" s="4" t="inlineStr">
        <is>
          <t>Encuestas y registros de la escuela [CP]</t>
        </is>
      </c>
      <c r="F16" s="4" t="inlineStr">
        <is>
          <t>Anual</t>
        </is>
      </c>
      <c r="G16" s="4" t="inlineStr">
        <is>
          <t>%</t>
        </is>
      </c>
      <c r="H16" s="4" t="inlineStr">
        <is>
          <t>Mayor es mejor</t>
        </is>
      </c>
      <c r="I16" s="4" t="inlineStr">
        <is>
          <t>Por confirmar</t>
        </is>
      </c>
      <c r="J16" s="4" t="inlineStr">
        <is>
          <t>ME01</t>
        </is>
      </c>
      <c r="K16" s="4" t="inlineStr">
        <is>
          <t>E2, E8</t>
        </is>
      </c>
      <c r="L16" s="4" t="inlineStr">
        <is>
          <t>PM01-I2</t>
        </is>
      </c>
    </row>
    <row r="17">
      <c r="A17" s="4" t="inlineStr">
        <is>
          <t>ID13</t>
        </is>
      </c>
      <c r="B17" s="4" t="inlineStr">
        <is>
          <t>SINEACE</t>
        </is>
      </c>
      <c r="C17" s="4" t="inlineStr">
        <is>
          <t>Porcentaje de docentes a tiempo completo</t>
        </is>
      </c>
      <c r="D17" s="4" t="inlineStr">
        <is>
          <t>Según la ficha del indicador en el modelo CONEAU [A4]</t>
        </is>
      </c>
      <c r="E17" s="4" t="inlineStr">
        <is>
          <t>Encuestas y registros de la escuela [CP]</t>
        </is>
      </c>
      <c r="F17" s="4" t="inlineStr">
        <is>
          <t>Anual</t>
        </is>
      </c>
      <c r="G17" s="4" t="inlineStr">
        <is>
          <t>%</t>
        </is>
      </c>
      <c r="H17" s="4" t="inlineStr">
        <is>
          <t>Mayor es mejor</t>
        </is>
      </c>
      <c r="I17" s="4" t="inlineStr">
        <is>
          <t>Por confirmar</t>
        </is>
      </c>
      <c r="J17" s="4" t="inlineStr">
        <is>
          <t>PS01, ME03</t>
        </is>
      </c>
      <c r="K17" s="4" t="inlineStr">
        <is>
          <t>E4, E8</t>
        </is>
      </c>
      <c r="L17" s="4" t="inlineStr">
        <is>
          <t>PS01-I2</t>
        </is>
      </c>
    </row>
    <row r="18">
      <c r="A18" s="4" t="inlineStr">
        <is>
          <t>ID14</t>
        </is>
      </c>
      <c r="B18" s="4" t="inlineStr">
        <is>
          <t>SINEACE</t>
        </is>
      </c>
      <c r="C18" s="4" t="inlineStr">
        <is>
          <t>Porcentaje de docentes con grado académico de doctor</t>
        </is>
      </c>
      <c r="D18" s="4" t="inlineStr">
        <is>
          <t>Según la ficha del indicador en el modelo CONEAU [A4]</t>
        </is>
      </c>
      <c r="E18" s="4" t="inlineStr">
        <is>
          <t>Encuestas y registros de la escuela [CP]</t>
        </is>
      </c>
      <c r="F18" s="4" t="inlineStr">
        <is>
          <t>Anual</t>
        </is>
      </c>
      <c r="G18" s="4" t="inlineStr">
        <is>
          <t>%</t>
        </is>
      </c>
      <c r="H18" s="4" t="inlineStr">
        <is>
          <t>Mayor es mejor</t>
        </is>
      </c>
      <c r="I18" s="4" t="inlineStr">
        <is>
          <t>Por confirmar</t>
        </is>
      </c>
      <c r="J18" s="4" t="inlineStr">
        <is>
          <t>PS01, ME03</t>
        </is>
      </c>
      <c r="K18" s="4" t="inlineStr">
        <is>
          <t>E4, E8</t>
        </is>
      </c>
      <c r="L18" s="4" t="inlineStr">
        <is>
          <t>PS01-I3</t>
        </is>
      </c>
    </row>
    <row r="19">
      <c r="A19" s="4" t="inlineStr">
        <is>
          <t>ID15</t>
        </is>
      </c>
      <c r="B19" s="4" t="inlineStr">
        <is>
          <t>SINEACE</t>
        </is>
      </c>
      <c r="C19" s="4" t="inlineStr">
        <is>
          <t>Porcentaje de docentes con formación, capacitación o especialización en docencia e investigación en los últimos dos años</t>
        </is>
      </c>
      <c r="D19" s="4" t="inlineStr">
        <is>
          <t>Según la ficha del indicador en el modelo CONEAU [A4]</t>
        </is>
      </c>
      <c r="E19" s="4" t="inlineStr">
        <is>
          <t>Encuestas y registros de la escuela [CP]</t>
        </is>
      </c>
      <c r="F19" s="4" t="inlineStr">
        <is>
          <t>Anual</t>
        </is>
      </c>
      <c r="G19" s="4" t="inlineStr">
        <is>
          <t>%</t>
        </is>
      </c>
      <c r="H19" s="4" t="inlineStr">
        <is>
          <t>Mayor es mejor</t>
        </is>
      </c>
      <c r="I19" s="4" t="inlineStr">
        <is>
          <t>Por confirmar</t>
        </is>
      </c>
      <c r="J19" s="4" t="inlineStr">
        <is>
          <t>PS01, ME03</t>
        </is>
      </c>
      <c r="K19" s="4" t="inlineStr">
        <is>
          <t>E4, E8</t>
        </is>
      </c>
      <c r="L19" s="4" t="inlineStr">
        <is>
          <t>PS01-I4</t>
        </is>
      </c>
    </row>
    <row r="20">
      <c r="A20" s="4" t="inlineStr">
        <is>
          <t>ID16</t>
        </is>
      </c>
      <c r="B20" s="4" t="inlineStr">
        <is>
          <t>SINEACE</t>
        </is>
      </c>
      <c r="C20" s="4" t="inlineStr">
        <is>
          <t>Porcentaje de docentes satisfechos con las actividades de fortalecimiento de capacidades y desarrollo académico</t>
        </is>
      </c>
      <c r="D20" s="4" t="inlineStr">
        <is>
          <t>Según la ficha del indicador en el modelo CONEAU [A4]</t>
        </is>
      </c>
      <c r="E20" s="4" t="inlineStr">
        <is>
          <t>Encuestas y registros de la escuela [CP]</t>
        </is>
      </c>
      <c r="F20" s="4" t="inlineStr">
        <is>
          <t>Anual</t>
        </is>
      </c>
      <c r="G20" s="4" t="inlineStr">
        <is>
          <t>%</t>
        </is>
      </c>
      <c r="H20" s="4" t="inlineStr">
        <is>
          <t>Mayor es mejor</t>
        </is>
      </c>
      <c r="I20" s="4" t="inlineStr">
        <is>
          <t>Por confirmar</t>
        </is>
      </c>
      <c r="J20" s="4" t="inlineStr">
        <is>
          <t>ME01, PS01</t>
        </is>
      </c>
      <c r="K20" s="4" t="inlineStr">
        <is>
          <t>E4, E8</t>
        </is>
      </c>
      <c r="L20" s="4" t="inlineStr"/>
    </row>
    <row r="21">
      <c r="A21" s="4" t="inlineStr">
        <is>
          <t>ID17</t>
        </is>
      </c>
      <c r="B21" s="4" t="inlineStr">
        <is>
          <t>SINEACE</t>
        </is>
      </c>
      <c r="C21" s="4" t="inlineStr">
        <is>
          <t>Porcentaje de docentes satisfechos con los recursos para la enseñanza-aprendizaje</t>
        </is>
      </c>
      <c r="D21" s="4" t="inlineStr">
        <is>
          <t>Según la ficha del indicador en el modelo CONEAU [A4]</t>
        </is>
      </c>
      <c r="E21" s="4" t="inlineStr">
        <is>
          <t>Encuestas y registros de la escuela [CP]</t>
        </is>
      </c>
      <c r="F21" s="4" t="inlineStr">
        <is>
          <t>Anual</t>
        </is>
      </c>
      <c r="G21" s="4" t="inlineStr">
        <is>
          <t>%</t>
        </is>
      </c>
      <c r="H21" s="4" t="inlineStr">
        <is>
          <t>Mayor es mejor</t>
        </is>
      </c>
      <c r="I21" s="4" t="inlineStr">
        <is>
          <t>Por confirmar</t>
        </is>
      </c>
      <c r="J21" s="4" t="inlineStr">
        <is>
          <t>ME01</t>
        </is>
      </c>
      <c r="K21" s="4" t="inlineStr">
        <is>
          <t>E5, E8</t>
        </is>
      </c>
      <c r="L21" s="4" t="inlineStr">
        <is>
          <t>PS03-I4</t>
        </is>
      </c>
    </row>
    <row r="22">
      <c r="A22" s="4" t="inlineStr">
        <is>
          <t>ID18</t>
        </is>
      </c>
      <c r="B22" s="4" t="inlineStr">
        <is>
          <t>SINEACE</t>
        </is>
      </c>
      <c r="C22" s="4" t="inlineStr">
        <is>
          <t>Porcentaje de docentes satisfechos con los procedimientos de los servicios administrativos</t>
        </is>
      </c>
      <c r="D22" s="4" t="inlineStr">
        <is>
          <t>Según la ficha del indicador en el modelo CONEAU [A4]</t>
        </is>
      </c>
      <c r="E22" s="4" t="inlineStr">
        <is>
          <t>Encuestas y registros de la escuela [CP]</t>
        </is>
      </c>
      <c r="F22" s="4" t="inlineStr">
        <is>
          <t>Anual</t>
        </is>
      </c>
      <c r="G22" s="4" t="inlineStr">
        <is>
          <t>%</t>
        </is>
      </c>
      <c r="H22" s="4" t="inlineStr">
        <is>
          <t>Mayor es mejor</t>
        </is>
      </c>
      <c r="I22" s="4" t="inlineStr">
        <is>
          <t>Por confirmar</t>
        </is>
      </c>
      <c r="J22" s="4" t="inlineStr">
        <is>
          <t>ME01, PS02</t>
        </is>
      </c>
      <c r="K22" s="4" t="inlineStr">
        <is>
          <t>E1, E8</t>
        </is>
      </c>
      <c r="L22" s="4" t="inlineStr"/>
    </row>
    <row r="23">
      <c r="A23" s="4" t="inlineStr">
        <is>
          <t>ID19</t>
        </is>
      </c>
      <c r="B23" s="4" t="inlineStr">
        <is>
          <t>SINEACE</t>
        </is>
      </c>
      <c r="C23" s="4" t="inlineStr">
        <is>
          <t>Porcentaje de docentes con desempeño satisfactorio en opinión de los estudiantes</t>
        </is>
      </c>
      <c r="D23" s="4" t="inlineStr">
        <is>
          <t>Según la ficha del indicador en el modelo CONEAU [A4]</t>
        </is>
      </c>
      <c r="E23" s="4" t="inlineStr">
        <is>
          <t>Encuestas y registros de la escuela [CP]</t>
        </is>
      </c>
      <c r="F23" s="4" t="inlineStr">
        <is>
          <t>Semestral</t>
        </is>
      </c>
      <c r="G23" s="4" t="inlineStr">
        <is>
          <t>%</t>
        </is>
      </c>
      <c r="H23" s="4" t="inlineStr">
        <is>
          <t>Mayor es mejor</t>
        </is>
      </c>
      <c r="I23" s="4" t="inlineStr">
        <is>
          <t>Por confirmar</t>
        </is>
      </c>
      <c r="J23" s="4" t="inlineStr">
        <is>
          <t>PS01, ME01</t>
        </is>
      </c>
      <c r="K23" s="4" t="inlineStr">
        <is>
          <t>E3, E4, E8</t>
        </is>
      </c>
      <c r="L23" s="4" t="inlineStr">
        <is>
          <t>PS01-I1</t>
        </is>
      </c>
    </row>
    <row r="24">
      <c r="A24" s="4" t="inlineStr">
        <is>
          <t>ID20</t>
        </is>
      </c>
      <c r="B24" s="4" t="inlineStr">
        <is>
          <t>SINEACE</t>
        </is>
      </c>
      <c r="C24" s="4" t="inlineStr">
        <is>
          <t>Porcentaje de egresados satisfechos con la calidad y utilidad de la formación para su empleabilidad</t>
        </is>
      </c>
      <c r="D24" s="4" t="inlineStr">
        <is>
          <t>Según la ficha del indicador en el modelo CONEAU [A4]</t>
        </is>
      </c>
      <c r="E24" s="4" t="inlineStr">
        <is>
          <t>Encuestas y registros de la escuela [CP]</t>
        </is>
      </c>
      <c r="F24" s="4" t="inlineStr">
        <is>
          <t>Anual</t>
        </is>
      </c>
      <c r="G24" s="4" t="inlineStr">
        <is>
          <t>%</t>
        </is>
      </c>
      <c r="H24" s="4" t="inlineStr">
        <is>
          <t>Mayor es mejor</t>
        </is>
      </c>
      <c r="I24" s="4" t="inlineStr">
        <is>
          <t>Por confirmar</t>
        </is>
      </c>
      <c r="J24" s="4" t="inlineStr">
        <is>
          <t>PM08, ME01</t>
        </is>
      </c>
      <c r="K24" s="4" t="inlineStr">
        <is>
          <t>E3, E6, E8</t>
        </is>
      </c>
      <c r="L24" s="4" t="inlineStr">
        <is>
          <t>PM10-P3</t>
        </is>
      </c>
    </row>
    <row r="25">
      <c r="A25" s="4" t="inlineStr">
        <is>
          <t>ID21</t>
        </is>
      </c>
      <c r="B25" s="4" t="inlineStr">
        <is>
          <t>SINEACE</t>
        </is>
      </c>
      <c r="C25" s="4" t="inlineStr">
        <is>
          <t>Porcentaje de egresados satisfechos con los procedimientos de los servicios administrativos</t>
        </is>
      </c>
      <c r="D25" s="4" t="inlineStr">
        <is>
          <t>Según la ficha del indicador en el modelo CONEAU [A4]</t>
        </is>
      </c>
      <c r="E25" s="4" t="inlineStr">
        <is>
          <t>Encuestas y registros de la escuela [CP]</t>
        </is>
      </c>
      <c r="F25" s="4" t="inlineStr">
        <is>
          <t>Anual</t>
        </is>
      </c>
      <c r="G25" s="4" t="inlineStr">
        <is>
          <t>%</t>
        </is>
      </c>
      <c r="H25" s="4" t="inlineStr">
        <is>
          <t>Mayor es mejor</t>
        </is>
      </c>
      <c r="I25" s="4" t="inlineStr">
        <is>
          <t>Por confirmar</t>
        </is>
      </c>
      <c r="J25" s="4" t="inlineStr">
        <is>
          <t>PM08, ME01</t>
        </is>
      </c>
      <c r="K25" s="4" t="inlineStr">
        <is>
          <t>E1, E8</t>
        </is>
      </c>
      <c r="L25" s="4" t="inlineStr"/>
    </row>
    <row r="26">
      <c r="A26" s="4" t="inlineStr">
        <is>
          <t>ID22</t>
        </is>
      </c>
      <c r="B26" s="4" t="inlineStr">
        <is>
          <t>SINEACE</t>
        </is>
      </c>
      <c r="C26" s="4" t="inlineStr">
        <is>
          <t>Porcentaje de egresados satisfechos con la calidad de la enseñanza</t>
        </is>
      </c>
      <c r="D26" s="4" t="inlineStr">
        <is>
          <t>Según la ficha del indicador en el modelo CONEAU [A4]</t>
        </is>
      </c>
      <c r="E26" s="4" t="inlineStr">
        <is>
          <t>Encuestas y registros de la escuela [CP]</t>
        </is>
      </c>
      <c r="F26" s="4" t="inlineStr">
        <is>
          <t>Anual</t>
        </is>
      </c>
      <c r="G26" s="4" t="inlineStr">
        <is>
          <t>%</t>
        </is>
      </c>
      <c r="H26" s="4" t="inlineStr">
        <is>
          <t>Mayor es mejor</t>
        </is>
      </c>
      <c r="I26" s="4" t="inlineStr">
        <is>
          <t>Por confirmar</t>
        </is>
      </c>
      <c r="J26" s="4" t="inlineStr">
        <is>
          <t>PM08, ME01</t>
        </is>
      </c>
      <c r="K26" s="4" t="inlineStr">
        <is>
          <t>E3, E6, E8</t>
        </is>
      </c>
      <c r="L26" s="4" t="inlineStr"/>
    </row>
    <row r="27">
      <c r="A27" s="4" t="inlineStr">
        <is>
          <t>ID23</t>
        </is>
      </c>
      <c r="B27" s="4" t="inlineStr">
        <is>
          <t>SINEACE</t>
        </is>
      </c>
      <c r="C27" s="4" t="inlineStr">
        <is>
          <t>Porcentaje de egresados satisfechos con los programas de bienestar y actividades recreativas, culturales, artísticas y deportivas</t>
        </is>
      </c>
      <c r="D27" s="4" t="inlineStr">
        <is>
          <t>Según la ficha del indicador en el modelo CONEAU [A4]</t>
        </is>
      </c>
      <c r="E27" s="4" t="inlineStr">
        <is>
          <t>Encuestas y registros de la escuela [CP]</t>
        </is>
      </c>
      <c r="F27" s="4" t="inlineStr">
        <is>
          <t>Anual</t>
        </is>
      </c>
      <c r="G27" s="4" t="inlineStr">
        <is>
          <t>%</t>
        </is>
      </c>
      <c r="H27" s="4" t="inlineStr">
        <is>
          <t>Mayor es mejor</t>
        </is>
      </c>
      <c r="I27" s="4" t="inlineStr">
        <is>
          <t>Por confirmar</t>
        </is>
      </c>
      <c r="J27" s="4" t="inlineStr">
        <is>
          <t>PM08, ME01</t>
        </is>
      </c>
      <c r="K27" s="4" t="inlineStr">
        <is>
          <t>E7, E8</t>
        </is>
      </c>
      <c r="L27" s="4" t="inlineStr"/>
    </row>
    <row r="28">
      <c r="A28" s="4" t="inlineStr">
        <is>
          <t>ID24</t>
        </is>
      </c>
      <c r="B28" s="4" t="inlineStr">
        <is>
          <t>SINEACE</t>
        </is>
      </c>
      <c r="C28" s="4" t="inlineStr">
        <is>
          <t>Porcentaje de egresados satisfechos con los servicios de apoyo al estudiante</t>
        </is>
      </c>
      <c r="D28" s="4" t="inlineStr">
        <is>
          <t>Según la ficha del indicador en el modelo CONEAU [A4]</t>
        </is>
      </c>
      <c r="E28" s="4" t="inlineStr">
        <is>
          <t>Encuestas y registros de la escuela [CP]</t>
        </is>
      </c>
      <c r="F28" s="4" t="inlineStr">
        <is>
          <t>Anual</t>
        </is>
      </c>
      <c r="G28" s="4" t="inlineStr">
        <is>
          <t>%</t>
        </is>
      </c>
      <c r="H28" s="4" t="inlineStr">
        <is>
          <t>Mayor es mejor</t>
        </is>
      </c>
      <c r="I28" s="4" t="inlineStr">
        <is>
          <t>Por confirmar</t>
        </is>
      </c>
      <c r="J28" s="4" t="inlineStr">
        <is>
          <t>PM08, ME01</t>
        </is>
      </c>
      <c r="K28" s="4" t="inlineStr">
        <is>
          <t>E3, E7, E8</t>
        </is>
      </c>
      <c r="L28" s="4" t="inlineStr"/>
    </row>
    <row r="29">
      <c r="A29" s="4" t="inlineStr">
        <is>
          <t>ID25</t>
        </is>
      </c>
      <c r="B29" s="4" t="inlineStr">
        <is>
          <t>SINEACE</t>
        </is>
      </c>
      <c r="C29" s="4" t="inlineStr">
        <is>
          <t>Tiempo promedio entre egreso y titulación</t>
        </is>
      </c>
      <c r="D29" s="4" t="inlineStr">
        <is>
          <t>Según la ficha del indicador en el modelo CONEAU [A4]</t>
        </is>
      </c>
      <c r="E29" s="4" t="inlineStr">
        <is>
          <t>Encuestas y registros de la escuela [CP]</t>
        </is>
      </c>
      <c r="F29" s="4" t="inlineStr">
        <is>
          <t>Anual</t>
        </is>
      </c>
      <c r="G29" s="4" t="inlineStr">
        <is>
          <t>años</t>
        </is>
      </c>
      <c r="H29" s="4" t="inlineStr">
        <is>
          <t>Menor es mejor</t>
        </is>
      </c>
      <c r="I29" s="4" t="inlineStr">
        <is>
          <t>Por confirmar</t>
        </is>
      </c>
      <c r="J29" s="4" t="inlineStr">
        <is>
          <t>PM08, ME03</t>
        </is>
      </c>
      <c r="K29" s="4" t="inlineStr">
        <is>
          <t>E8</t>
        </is>
      </c>
      <c r="L29" s="4" t="inlineStr">
        <is>
          <t>PM08-I2</t>
        </is>
      </c>
    </row>
    <row r="30">
      <c r="A30" s="4" t="inlineStr">
        <is>
          <t>ID26</t>
        </is>
      </c>
      <c r="B30" s="4" t="inlineStr">
        <is>
          <t>SINEACE</t>
        </is>
      </c>
      <c r="C30" s="4" t="inlineStr">
        <is>
          <t>Tiempo promedio entre egreso y primer empleo en el campo profesional</t>
        </is>
      </c>
      <c r="D30" s="4" t="inlineStr">
        <is>
          <t>Según la ficha del indicador en el modelo CONEAU [A4]</t>
        </is>
      </c>
      <c r="E30" s="4" t="inlineStr">
        <is>
          <t>Encuestas y registros de la escuela [CP]</t>
        </is>
      </c>
      <c r="F30" s="4" t="inlineStr">
        <is>
          <t>Anual</t>
        </is>
      </c>
      <c r="G30" s="4" t="inlineStr">
        <is>
          <t>años</t>
        </is>
      </c>
      <c r="H30" s="4" t="inlineStr">
        <is>
          <t>Menor es mejor</t>
        </is>
      </c>
      <c r="I30" s="4" t="inlineStr">
        <is>
          <t>Por confirmar</t>
        </is>
      </c>
      <c r="J30" s="4" t="inlineStr">
        <is>
          <t>PM08, ME03</t>
        </is>
      </c>
      <c r="K30" s="4" t="inlineStr">
        <is>
          <t>E6, E8</t>
        </is>
      </c>
      <c r="L30" s="4" t="inlineStr">
        <is>
          <t>PM10-P4</t>
        </is>
      </c>
    </row>
    <row r="31">
      <c r="A31" s="4" t="inlineStr">
        <is>
          <t>ID27</t>
        </is>
      </c>
      <c r="B31" s="4" t="inlineStr">
        <is>
          <t>SINEACE</t>
        </is>
      </c>
      <c r="C31" s="4" t="inlineStr">
        <is>
          <t>Porcentaje de egresados que laboran en su campo profesional</t>
        </is>
      </c>
      <c r="D31" s="4" t="inlineStr">
        <is>
          <t>Según la ficha del indicador en el modelo CONEAU [A4]</t>
        </is>
      </c>
      <c r="E31" s="4" t="inlineStr">
        <is>
          <t>Encuestas y registros de la escuela [CP]</t>
        </is>
      </c>
      <c r="F31" s="4" t="inlineStr">
        <is>
          <t>Anual</t>
        </is>
      </c>
      <c r="G31" s="4" t="inlineStr">
        <is>
          <t>%</t>
        </is>
      </c>
      <c r="H31" s="4" t="inlineStr">
        <is>
          <t>Mayor es mejor</t>
        </is>
      </c>
      <c r="I31" s="4" t="inlineStr">
        <is>
          <t>Por confirmar</t>
        </is>
      </c>
      <c r="J31" s="4" t="inlineStr">
        <is>
          <t>PM08, ME03</t>
        </is>
      </c>
      <c r="K31" s="4" t="inlineStr">
        <is>
          <t>E6, E8</t>
        </is>
      </c>
      <c r="L31" s="4" t="inlineStr">
        <is>
          <t>PM08-I3</t>
        </is>
      </c>
    </row>
    <row r="32">
      <c r="A32" s="4" t="inlineStr">
        <is>
          <t>ID28</t>
        </is>
      </c>
      <c r="B32" s="4" t="inlineStr">
        <is>
          <t>SINEACE</t>
        </is>
      </c>
      <c r="C32" s="4" t="inlineStr">
        <is>
          <t>Porcentaje de estudiantes que alcanzan el título profesional dentro de los dos años posteriores al egreso</t>
        </is>
      </c>
      <c r="D32" s="4" t="inlineStr">
        <is>
          <t>Según la ficha del indicador en el modelo CONEAU [A4]</t>
        </is>
      </c>
      <c r="E32" s="4" t="inlineStr">
        <is>
          <t>Encuestas y registros de la escuela [CP]</t>
        </is>
      </c>
      <c r="F32" s="4" t="inlineStr">
        <is>
          <t>Anual</t>
        </is>
      </c>
      <c r="G32" s="4" t="inlineStr">
        <is>
          <t>%</t>
        </is>
      </c>
      <c r="H32" s="4" t="inlineStr">
        <is>
          <t>Mayor es mejor</t>
        </is>
      </c>
      <c r="I32" s="4" t="inlineStr">
        <is>
          <t>Por confirmar</t>
        </is>
      </c>
      <c r="J32" s="4" t="inlineStr">
        <is>
          <t>PM08, ME02</t>
        </is>
      </c>
      <c r="K32" s="4" t="inlineStr">
        <is>
          <t>E6, E8</t>
        </is>
      </c>
      <c r="L32" s="4" t="inlineStr">
        <is>
          <t>PM08-I1</t>
        </is>
      </c>
    </row>
    <row r="33">
      <c r="A33" s="4" t="inlineStr">
        <is>
          <t>ID29</t>
        </is>
      </c>
      <c r="B33" s="4" t="inlineStr">
        <is>
          <t>SINEACE</t>
        </is>
      </c>
      <c r="C33" s="4" t="inlineStr">
        <is>
          <t>Porcentaje de empleadores satisfechos con el desempeño de los egresados</t>
        </is>
      </c>
      <c r="D33" s="4" t="inlineStr">
        <is>
          <t>Según la ficha del indicador en el modelo CONEAU [A4]</t>
        </is>
      </c>
      <c r="E33" s="4" t="inlineStr">
        <is>
          <t>Encuestas y registros de la escuela [CP]</t>
        </is>
      </c>
      <c r="F33" s="4" t="inlineStr">
        <is>
          <t>Anual</t>
        </is>
      </c>
      <c r="G33" s="4" t="inlineStr">
        <is>
          <t>%</t>
        </is>
      </c>
      <c r="H33" s="4" t="inlineStr">
        <is>
          <t>Mayor es mejor</t>
        </is>
      </c>
      <c r="I33" s="4" t="inlineStr">
        <is>
          <t>Por confirmar</t>
        </is>
      </c>
      <c r="J33" s="4" t="inlineStr">
        <is>
          <t>PM08, ME01</t>
        </is>
      </c>
      <c r="K33" s="4" t="inlineStr">
        <is>
          <t>E6, E8</t>
        </is>
      </c>
      <c r="L33" s="4" t="inlineStr">
        <is>
          <t>PM08-I4</t>
        </is>
      </c>
    </row>
    <row r="34">
      <c r="A34" s="4" t="inlineStr">
        <is>
          <t>PS05-I1</t>
        </is>
      </c>
      <c r="B34" s="4" t="inlineStr">
        <is>
          <t>Proceso</t>
        </is>
      </c>
      <c r="C34" s="4" t="inlineStr">
        <is>
          <t>Documentos del SGC vigentes y con versión actual</t>
        </is>
      </c>
      <c r="D34" s="4" t="inlineStr">
        <is>
          <t>Documentos con versión vigente en la lista / documentos listados × 100</t>
        </is>
      </c>
      <c r="E34" s="4" t="inlineStr">
        <is>
          <t>Lista maestra de documentos del SGC</t>
        </is>
      </c>
      <c r="F34" s="4" t="inlineStr">
        <is>
          <t>Trimestral</t>
        </is>
      </c>
      <c r="G34" s="4" t="inlineStr">
        <is>
          <t>%</t>
        </is>
      </c>
      <c r="H34" s="4" t="inlineStr">
        <is>
          <t>Por definir</t>
        </is>
      </c>
      <c r="I34" s="4" t="inlineStr">
        <is>
          <t>Coordinador/a de calidad de la facultad (por confirmar)</t>
        </is>
      </c>
      <c r="J34" s="4" t="inlineStr">
        <is>
          <t>PS05</t>
        </is>
      </c>
      <c r="K34" s="4" t="inlineStr"/>
      <c r="L34" s="4" t="inlineStr"/>
    </row>
    <row r="35">
      <c r="A35" s="4" t="inlineStr">
        <is>
          <t>PS05-I2</t>
        </is>
      </c>
      <c r="B35" s="4" t="inlineStr">
        <is>
          <t>Proceso</t>
        </is>
      </c>
      <c r="C35" s="4" t="inlineStr">
        <is>
          <t>Registros conservados según su plazo</t>
        </is>
      </c>
      <c r="D35" s="4" t="inlineStr">
        <is>
          <t>Registros auditados conformes con su plazo y protección / registros auditados × 100</t>
        </is>
      </c>
      <c r="E35" s="4" t="inlineStr">
        <is>
          <t>Informe de auditoría de registros (ME04) y lista de registros</t>
        </is>
      </c>
      <c r="F35" s="4" t="inlineStr">
        <is>
          <t>Anual</t>
        </is>
      </c>
      <c r="G35" s="4" t="inlineStr">
        <is>
          <t>%</t>
        </is>
      </c>
      <c r="H35" s="4" t="inlineStr">
        <is>
          <t>Por definir</t>
        </is>
      </c>
      <c r="I35" s="4" t="inlineStr">
        <is>
          <t>Coordinador/a de calidad de la facultad (por confirmar)</t>
        </is>
      </c>
      <c r="J35" s="4" t="inlineStr">
        <is>
          <t>PS05</t>
        </is>
      </c>
      <c r="K35" s="4" t="inlineStr"/>
      <c r="L35" s="4" t="inlineStr"/>
    </row>
    <row r="36">
      <c r="A36" s="4" t="inlineStr">
        <is>
          <t>PS05-I3</t>
        </is>
      </c>
      <c r="B36" s="4" t="inlineStr">
        <is>
          <t>Proceso</t>
        </is>
      </c>
      <c r="C36" s="4" t="inlineStr">
        <is>
          <t>Tiempo de aprobación de documentos</t>
        </is>
      </c>
      <c r="D36" s="4" t="inlineStr">
        <is>
          <t>Promedio de días entre la solicitud de cambio y la aprobación</t>
        </is>
      </c>
      <c r="E36" s="4" t="inlineStr">
        <is>
          <t>Solicitudes de cambio y actas de aprobación</t>
        </is>
      </c>
      <c r="F36" s="4" t="inlineStr">
        <is>
          <t>Trimestral</t>
        </is>
      </c>
      <c r="G36" s="4" t="inlineStr">
        <is>
          <t>días</t>
        </is>
      </c>
      <c r="H36" s="4" t="inlineStr">
        <is>
          <t>Por definir</t>
        </is>
      </c>
      <c r="I36" s="4" t="inlineStr">
        <is>
          <t>Coordinador/a de calidad de la facultad (por confirmar)</t>
        </is>
      </c>
      <c r="J36" s="4" t="inlineStr">
        <is>
          <t>PS05</t>
        </is>
      </c>
      <c r="K36" s="4" t="inlineStr"/>
      <c r="L36" s="4" t="inlineStr"/>
    </row>
    <row r="37">
      <c r="A37" s="4" t="inlineStr">
        <is>
          <t>PS05-I4</t>
        </is>
      </c>
      <c r="B37" s="4" t="inlineStr">
        <is>
          <t>Proceso</t>
        </is>
      </c>
      <c r="C37" s="4" t="inlineStr">
        <is>
          <t>Solicitudes de acceso a datos atendidas en plazo</t>
        </is>
      </c>
      <c r="D37" s="4" t="inlineStr">
        <is>
          <t>Solicitudes atendidas en el plazo fijado / solicitudes recibidas × 100</t>
        </is>
      </c>
      <c r="E37" s="4" t="inlineStr">
        <is>
          <t>Registro de solicitudes de acceso a datos</t>
        </is>
      </c>
      <c r="F37" s="4" t="inlineStr">
        <is>
          <t>Semestral</t>
        </is>
      </c>
      <c r="G37" s="4" t="inlineStr">
        <is>
          <t>%</t>
        </is>
      </c>
      <c r="H37" s="4" t="inlineStr">
        <is>
          <t>Por definir</t>
        </is>
      </c>
      <c r="I37" s="4" t="inlineStr">
        <is>
          <t>Coordinador/a de calidad de la facultad (por confirmar)</t>
        </is>
      </c>
      <c r="J37" s="4" t="inlineStr">
        <is>
          <t>PS05</t>
        </is>
      </c>
      <c r="K37" s="4" t="inlineStr"/>
      <c r="L37" s="4" t="inlineStr"/>
    </row>
    <row r="38">
      <c r="A38" s="4" t="inlineStr">
        <is>
          <t>ME05-I1</t>
        </is>
      </c>
      <c r="B38" s="4" t="inlineStr">
        <is>
          <t>Proceso</t>
        </is>
      </c>
      <c r="C38" s="4" t="inlineStr">
        <is>
          <t>Acciones correctivas cerradas en plazo</t>
        </is>
      </c>
      <c r="D38" s="4" t="inlineStr">
        <is>
          <t>Acciones cerradas en el plazo acordado / acciones con plazo vencido o cumplido × 100</t>
        </is>
      </c>
      <c r="E38" s="4" t="inlineStr">
        <is>
          <t>Registro de acciones correctivas (ME05)</t>
        </is>
      </c>
      <c r="F38" s="4" t="inlineStr">
        <is>
          <t>Trimestral</t>
        </is>
      </c>
      <c r="G38" s="4" t="inlineStr">
        <is>
          <t>%</t>
        </is>
      </c>
      <c r="H38" s="4" t="inlineStr">
        <is>
          <t>Por definir</t>
        </is>
      </c>
      <c r="I38" s="4" t="inlineStr">
        <is>
          <t>Dueños de proceso / Comité de Calidad (por confirmar)</t>
        </is>
      </c>
      <c r="J38" s="4" t="inlineStr">
        <is>
          <t>ME05</t>
        </is>
      </c>
      <c r="K38" s="4" t="inlineStr"/>
      <c r="L38" s="4" t="inlineStr"/>
    </row>
    <row r="39">
      <c r="A39" s="4" t="inlineStr">
        <is>
          <t>ME05-I2</t>
        </is>
      </c>
      <c r="B39" s="4" t="inlineStr">
        <is>
          <t>Proceso</t>
        </is>
      </c>
      <c r="C39" s="4" t="inlineStr">
        <is>
          <t>Acciones verificadas como eficaces</t>
        </is>
      </c>
      <c r="D39" s="4" t="inlineStr">
        <is>
          <t>Acciones con eficacia verificada / acciones implementadas × 100</t>
        </is>
      </c>
      <c r="E39" s="4" t="inlineStr">
        <is>
          <t>Registro de acciones correctivas (ME05)</t>
        </is>
      </c>
      <c r="F39" s="4" t="inlineStr">
        <is>
          <t>Trimestral</t>
        </is>
      </c>
      <c r="G39" s="4" t="inlineStr">
        <is>
          <t>%</t>
        </is>
      </c>
      <c r="H39" s="4" t="inlineStr">
        <is>
          <t>Por definir</t>
        </is>
      </c>
      <c r="I39" s="4" t="inlineStr">
        <is>
          <t>Dueños de proceso / Comité de Calidad (por confirmar)</t>
        </is>
      </c>
      <c r="J39" s="4" t="inlineStr">
        <is>
          <t>ME05</t>
        </is>
      </c>
      <c r="K39" s="4" t="inlineStr"/>
      <c r="L39" s="4" t="inlineStr"/>
    </row>
    <row r="40">
      <c r="A40" s="4" t="inlineStr">
        <is>
          <t>ME05-I3</t>
        </is>
      </c>
      <c r="B40" s="4" t="inlineStr">
        <is>
          <t>Proceso</t>
        </is>
      </c>
      <c r="C40" s="4" t="inlineStr">
        <is>
          <t>No conformidades recurrentes</t>
        </is>
      </c>
      <c r="D40" s="4" t="inlineStr">
        <is>
          <t>No conformidades repetidas en el siguiente ciclo / no conformidades cerradas × 100</t>
        </is>
      </c>
      <c r="E40" s="4" t="inlineStr">
        <is>
          <t>Registro de acciones correctivas y auditorías (ME05, ME04)</t>
        </is>
      </c>
      <c r="F40" s="4" t="inlineStr">
        <is>
          <t>Anual</t>
        </is>
      </c>
      <c r="G40" s="4" t="inlineStr">
        <is>
          <t>%</t>
        </is>
      </c>
      <c r="H40" s="4" t="inlineStr">
        <is>
          <t>Por definir</t>
        </is>
      </c>
      <c r="I40" s="4" t="inlineStr">
        <is>
          <t>Dueños de proceso / Comité de Calidad (por confirmar)</t>
        </is>
      </c>
      <c r="J40" s="4" t="inlineStr">
        <is>
          <t>ME05</t>
        </is>
      </c>
      <c r="K40" s="4" t="inlineStr"/>
      <c r="L40" s="4" t="inlineStr"/>
    </row>
    <row r="41">
      <c r="A41" s="4" t="inlineStr">
        <is>
          <t>ME05-I4</t>
        </is>
      </c>
      <c r="B41" s="4" t="inlineStr">
        <is>
          <t>Proceso</t>
        </is>
      </c>
      <c r="C41" s="4" t="inlineStr">
        <is>
          <t>Ejecución del plan de mejora</t>
        </is>
      </c>
      <c r="D41" s="4" t="inlineStr">
        <is>
          <t>Acciones del plan ejecutadas / acciones programadas × 100</t>
        </is>
      </c>
      <c r="E41" s="4" t="inlineStr">
        <is>
          <t>Plan de mejora de la escuela</t>
        </is>
      </c>
      <c r="F41" s="4" t="inlineStr">
        <is>
          <t>Trimestral</t>
        </is>
      </c>
      <c r="G41" s="4" t="inlineStr">
        <is>
          <t>%</t>
        </is>
      </c>
      <c r="H41" s="4" t="inlineStr">
        <is>
          <t>Por definir</t>
        </is>
      </c>
      <c r="I41" s="4" t="inlineStr">
        <is>
          <t>Dueños de proceso / Comité de Calidad (por confirmar)</t>
        </is>
      </c>
      <c r="J41" s="4" t="inlineStr">
        <is>
          <t>ME05</t>
        </is>
      </c>
      <c r="K41" s="4" t="inlineStr"/>
      <c r="L41" s="4" t="inlineStr"/>
    </row>
    <row r="42">
      <c r="A42" s="4" t="inlineStr">
        <is>
          <t>ME04-I1</t>
        </is>
      </c>
      <c r="B42" s="4" t="inlineStr">
        <is>
          <t>Proceso</t>
        </is>
      </c>
      <c r="C42" s="4" t="inlineStr">
        <is>
          <t>Cumplimiento del programa de auditorías</t>
        </is>
      </c>
      <c r="D42" s="4" t="inlineStr">
        <is>
          <t>Auditorías realizadas / auditorías programadas × 100</t>
        </is>
      </c>
      <c r="E42" s="4" t="inlineStr">
        <is>
          <t>Programa e informes de auditoría interna</t>
        </is>
      </c>
      <c r="F42" s="4" t="inlineStr">
        <is>
          <t>Anual</t>
        </is>
      </c>
      <c r="G42" s="4" t="inlineStr">
        <is>
          <t>%</t>
        </is>
      </c>
      <c r="H42" s="4" t="inlineStr">
        <is>
          <t>Por definir</t>
        </is>
      </c>
      <c r="I42" s="4" t="inlineStr">
        <is>
          <t>Comité de Calidad / auditores internos (por confirmar)</t>
        </is>
      </c>
      <c r="J42" s="4" t="inlineStr">
        <is>
          <t>ME04</t>
        </is>
      </c>
      <c r="K42" s="4" t="inlineStr"/>
      <c r="L42" s="4" t="inlineStr"/>
    </row>
    <row r="43">
      <c r="A43" s="4" t="inlineStr">
        <is>
          <t>ME04-I2</t>
        </is>
      </c>
      <c r="B43" s="4" t="inlineStr">
        <is>
          <t>Proceso</t>
        </is>
      </c>
      <c r="C43" s="4" t="inlineStr">
        <is>
          <t>Cobertura de procesos y escuelas en el ciclo</t>
        </is>
      </c>
      <c r="D43" s="4" t="inlineStr">
        <is>
          <t>Procesos y escuelas auditados / total × 100</t>
        </is>
      </c>
      <c r="E43" s="4" t="inlineStr">
        <is>
          <t>Programa e informes de auditoría interna</t>
        </is>
      </c>
      <c r="F43" s="4" t="inlineStr">
        <is>
          <t>Anual</t>
        </is>
      </c>
      <c r="G43" s="4" t="inlineStr">
        <is>
          <t>%</t>
        </is>
      </c>
      <c r="H43" s="4" t="inlineStr">
        <is>
          <t>Por definir</t>
        </is>
      </c>
      <c r="I43" s="4" t="inlineStr">
        <is>
          <t>Comité de Calidad / auditores internos (por confirmar)</t>
        </is>
      </c>
      <c r="J43" s="4" t="inlineStr">
        <is>
          <t>ME04</t>
        </is>
      </c>
      <c r="K43" s="4" t="inlineStr"/>
      <c r="L43" s="4" t="inlineStr"/>
    </row>
    <row r="44">
      <c r="A44" s="4" t="inlineStr">
        <is>
          <t>ME04-I3</t>
        </is>
      </c>
      <c r="B44" s="4" t="inlineStr">
        <is>
          <t>Proceso</t>
        </is>
      </c>
      <c r="C44" s="4" t="inlineStr">
        <is>
          <t>Hallazgos con acción en plazo</t>
        </is>
      </c>
      <c r="D44" s="4" t="inlineStr">
        <is>
          <t>No conformidades con acción registrada en plazo / no conformidades emitidas × 100</t>
        </is>
      </c>
      <c r="E44" s="4" t="inlineStr">
        <is>
          <t>Informes de auditoría y registro de acciones</t>
        </is>
      </c>
      <c r="F44" s="4" t="inlineStr">
        <is>
          <t>Trimestral</t>
        </is>
      </c>
      <c r="G44" s="4" t="inlineStr">
        <is>
          <t>%</t>
        </is>
      </c>
      <c r="H44" s="4" t="inlineStr">
        <is>
          <t>Por definir</t>
        </is>
      </c>
      <c r="I44" s="4" t="inlineStr">
        <is>
          <t>Comité de Calidad / auditores internos (por confirmar)</t>
        </is>
      </c>
      <c r="J44" s="4" t="inlineStr">
        <is>
          <t>ME04</t>
        </is>
      </c>
      <c r="K44" s="4" t="inlineStr"/>
      <c r="L44" s="4" t="inlineStr"/>
    </row>
    <row r="45">
      <c r="A45" s="4" t="inlineStr">
        <is>
          <t>ME04-I4</t>
        </is>
      </c>
      <c r="B45" s="4" t="inlineStr">
        <is>
          <t>Proceso</t>
        </is>
      </c>
      <c r="C45" s="4" t="inlineStr">
        <is>
          <t>Auditores evaluados con resultado satisfactorio</t>
        </is>
      </c>
      <c r="D45" s="4" t="inlineStr">
        <is>
          <t>Auditores con F-08 satisfactoria / auditores evaluados × 100</t>
        </is>
      </c>
      <c r="E45" s="4" t="inlineStr">
        <is>
          <t>Evaluación de auditores (FMH-OCA-03, F-08)</t>
        </is>
      </c>
      <c r="F45" s="4" t="inlineStr">
        <is>
          <t>Anual</t>
        </is>
      </c>
      <c r="G45" s="4" t="inlineStr">
        <is>
          <t>%</t>
        </is>
      </c>
      <c r="H45" s="4" t="inlineStr">
        <is>
          <t>Por definir</t>
        </is>
      </c>
      <c r="I45" s="4" t="inlineStr">
        <is>
          <t>Comité de Calidad / auditores internos (por confirmar)</t>
        </is>
      </c>
      <c r="J45" s="4" t="inlineStr">
        <is>
          <t>ME04</t>
        </is>
      </c>
      <c r="K45" s="4" t="inlineStr"/>
      <c r="L45" s="4" t="inlineStr"/>
    </row>
    <row r="46">
      <c r="A46" s="4" t="inlineStr">
        <is>
          <t>PE02-I1</t>
        </is>
      </c>
      <c r="B46" s="4" t="inlineStr">
        <is>
          <t>Proceso</t>
        </is>
      </c>
      <c r="C46" s="4" t="inlineStr">
        <is>
          <t>Revisiones por la dirección realizadas</t>
        </is>
      </c>
      <c r="D46" s="4" t="inlineStr">
        <is>
          <t>Revisiones realizadas en el año / revisiones programadas × 100</t>
        </is>
      </c>
      <c r="E46" s="4" t="inlineStr">
        <is>
          <t>Actas de revisión por la dirección</t>
        </is>
      </c>
      <c r="F46" s="4" t="inlineStr">
        <is>
          <t>Anual</t>
        </is>
      </c>
      <c r="G46" s="4" t="inlineStr">
        <is>
          <t>%</t>
        </is>
      </c>
      <c r="H46" s="4" t="inlineStr">
        <is>
          <t>Por definir</t>
        </is>
      </c>
      <c r="I46" s="4" t="inlineStr">
        <is>
          <t>Decanato / Comité de Calidad (por confirmar)</t>
        </is>
      </c>
      <c r="J46" s="4" t="inlineStr">
        <is>
          <t>PE02</t>
        </is>
      </c>
      <c r="K46" s="4" t="inlineStr"/>
      <c r="L46" s="4" t="inlineStr"/>
    </row>
    <row r="47">
      <c r="A47" s="4" t="inlineStr">
        <is>
          <t>PE02-I2</t>
        </is>
      </c>
      <c r="B47" s="4" t="inlineStr">
        <is>
          <t>Proceso</t>
        </is>
      </c>
      <c r="C47" s="4" t="inlineStr">
        <is>
          <t>Decisiones de la revisión cumplidas</t>
        </is>
      </c>
      <c r="D47" s="4" t="inlineStr">
        <is>
          <t>Decisiones cumplidas en plazo / decisiones adoptadas × 100</t>
        </is>
      </c>
      <c r="E47" s="4" t="inlineStr">
        <is>
          <t>Actas de revisión por la dirección y seguimiento</t>
        </is>
      </c>
      <c r="F47" s="4" t="inlineStr">
        <is>
          <t>Semestral</t>
        </is>
      </c>
      <c r="G47" s="4" t="inlineStr">
        <is>
          <t>%</t>
        </is>
      </c>
      <c r="H47" s="4" t="inlineStr">
        <is>
          <t>Por definir</t>
        </is>
      </c>
      <c r="I47" s="4" t="inlineStr">
        <is>
          <t>Decanato / Comité de Calidad (por confirmar)</t>
        </is>
      </c>
      <c r="J47" s="4" t="inlineStr">
        <is>
          <t>PE02</t>
        </is>
      </c>
      <c r="K47" s="4" t="inlineStr"/>
      <c r="L47" s="4" t="inlineStr"/>
    </row>
    <row r="48">
      <c r="A48" s="4" t="inlineStr">
        <is>
          <t>PE02-I3</t>
        </is>
      </c>
      <c r="B48" s="4" t="inlineStr">
        <is>
          <t>Proceso</t>
        </is>
      </c>
      <c r="C48" s="4" t="inlineStr">
        <is>
          <t>Personal que conoce la política</t>
        </is>
      </c>
      <c r="D48" s="4" t="inlineStr">
        <is>
          <t>Personal que responde correctamente en la encuesta / personal encuestado × 100</t>
        </is>
      </c>
      <c r="E48" s="4" t="inlineStr">
        <is>
          <t>Encuesta al personal</t>
        </is>
      </c>
      <c r="F48" s="4" t="inlineStr">
        <is>
          <t>Anual</t>
        </is>
      </c>
      <c r="G48" s="4" t="inlineStr">
        <is>
          <t>%</t>
        </is>
      </c>
      <c r="H48" s="4" t="inlineStr">
        <is>
          <t>Por definir</t>
        </is>
      </c>
      <c r="I48" s="4" t="inlineStr">
        <is>
          <t>Decanato / Comité de Calidad (por confirmar)</t>
        </is>
      </c>
      <c r="J48" s="4" t="inlineStr">
        <is>
          <t>PE02</t>
        </is>
      </c>
      <c r="K48" s="4" t="inlineStr"/>
      <c r="L48" s="4" t="inlineStr"/>
    </row>
    <row r="49">
      <c r="A49" s="4" t="inlineStr">
        <is>
          <t>PE02-I4</t>
        </is>
      </c>
      <c r="B49" s="4" t="inlineStr">
        <is>
          <t>Proceso</t>
        </is>
      </c>
      <c r="C49" s="4" t="inlineStr">
        <is>
          <t>Programas con acreditación vigente</t>
        </is>
      </c>
      <c r="D49" s="4" t="inlineStr">
        <is>
          <t>Programas con acreditación vigente / programas × 100</t>
        </is>
      </c>
      <c r="E49" s="4" t="inlineStr">
        <is>
          <t>Resoluciones de acreditación y vigencias (OCAA)</t>
        </is>
      </c>
      <c r="F49" s="4" t="inlineStr">
        <is>
          <t>Anual</t>
        </is>
      </c>
      <c r="G49" s="4" t="inlineStr">
        <is>
          <t>%</t>
        </is>
      </c>
      <c r="H49" s="4" t="inlineStr">
        <is>
          <t>Mayor es mejor</t>
        </is>
      </c>
      <c r="I49" s="4" t="inlineStr">
        <is>
          <t>Decanato / Comité de Calidad (por confirmar). En el PE FM: OCAA</t>
        </is>
      </c>
      <c r="J49" s="4" t="inlineStr">
        <is>
          <t>PE02</t>
        </is>
      </c>
      <c r="K49" s="4" t="inlineStr"/>
      <c r="L49" s="4" t="inlineStr"/>
    </row>
    <row r="50">
      <c r="A50" s="4" t="inlineStr">
        <is>
          <t>PE01-I1</t>
        </is>
      </c>
      <c r="B50" s="4" t="inlineStr">
        <is>
          <t>Proceso</t>
        </is>
      </c>
      <c r="C50" s="4" t="inlineStr">
        <is>
          <t>Cumplimiento del plan anual de calidad</t>
        </is>
      </c>
      <c r="D50" s="4" t="inlineStr">
        <is>
          <t>Actividades ejecutadas / actividades programadas × 100</t>
        </is>
      </c>
      <c r="E50" s="4" t="inlineStr">
        <is>
          <t>Plan anual de calidad e informes de avance</t>
        </is>
      </c>
      <c r="F50" s="4" t="inlineStr">
        <is>
          <t>Trimestral</t>
        </is>
      </c>
      <c r="G50" s="4" t="inlineStr">
        <is>
          <t>%</t>
        </is>
      </c>
      <c r="H50" s="4" t="inlineStr">
        <is>
          <t>Por definir</t>
        </is>
      </c>
      <c r="I50" s="4" t="inlineStr">
        <is>
          <t>Comité de Calidad de la Facultad (por confirmar)</t>
        </is>
      </c>
      <c r="J50" s="4" t="inlineStr">
        <is>
          <t>PE01</t>
        </is>
      </c>
      <c r="K50" s="4" t="inlineStr"/>
      <c r="L50" s="4" t="inlineStr"/>
    </row>
    <row r="51">
      <c r="A51" s="4" t="inlineStr">
        <is>
          <t>PE01-I2</t>
        </is>
      </c>
      <c r="B51" s="4" t="inlineStr">
        <is>
          <t>Proceso</t>
        </is>
      </c>
      <c r="C51" s="4" t="inlineStr">
        <is>
          <t>Objetivos de calidad logrados</t>
        </is>
      </c>
      <c r="D51" s="4" t="inlineStr">
        <is>
          <t>Objetivos con meta alcanzada / objetivos × 100</t>
        </is>
      </c>
      <c r="E51" s="4" t="inlineStr">
        <is>
          <t>Informe anual de objetivos de calidad</t>
        </is>
      </c>
      <c r="F51" s="4" t="inlineStr">
        <is>
          <t>Anual</t>
        </is>
      </c>
      <c r="G51" s="4" t="inlineStr">
        <is>
          <t>%</t>
        </is>
      </c>
      <c r="H51" s="4" t="inlineStr">
        <is>
          <t>Por definir</t>
        </is>
      </c>
      <c r="I51" s="4" t="inlineStr">
        <is>
          <t>Comité de Calidad de la Facultad (por confirmar)</t>
        </is>
      </c>
      <c r="J51" s="4" t="inlineStr">
        <is>
          <t>PE01</t>
        </is>
      </c>
      <c r="K51" s="4" t="inlineStr"/>
      <c r="L51" s="4" t="inlineStr"/>
    </row>
    <row r="52">
      <c r="A52" s="4" t="inlineStr">
        <is>
          <t>PE01-I3</t>
        </is>
      </c>
      <c r="B52" s="4" t="inlineStr">
        <is>
          <t>Proceso</t>
        </is>
      </c>
      <c r="C52" s="4" t="inlineStr">
        <is>
          <t>Cumplimiento del plan operativo de la facultad</t>
        </is>
      </c>
      <c r="D52" s="4" t="inlineStr">
        <is>
          <t>Según la ficha de PE.01_F01</t>
        </is>
      </c>
      <c r="E52" s="4" t="inlineStr">
        <is>
          <t>Informes del plan operativo de la facultad</t>
        </is>
      </c>
      <c r="F52" s="4" t="inlineStr">
        <is>
          <t>Trimestral</t>
        </is>
      </c>
      <c r="G52" s="4" t="inlineStr">
        <is>
          <t>%</t>
        </is>
      </c>
      <c r="H52" s="4" t="inlineStr">
        <is>
          <t>Mayor es mejor</t>
        </is>
      </c>
      <c r="I52" s="4" t="inlineStr">
        <is>
          <t>Comité de Calidad de la Facultad (por confirmar)</t>
        </is>
      </c>
      <c r="J52" s="4" t="inlineStr">
        <is>
          <t>PE01</t>
        </is>
      </c>
      <c r="K52" s="4" t="inlineStr"/>
      <c r="L52" s="4" t="inlineStr"/>
    </row>
    <row r="53">
      <c r="A53" s="4" t="inlineStr">
        <is>
          <t>PE03-I1</t>
        </is>
      </c>
      <c r="B53" s="4" t="inlineStr">
        <is>
          <t>Proceso</t>
        </is>
      </c>
      <c r="C53" s="4" t="inlineStr">
        <is>
          <t>Procesos con matriz de riesgos vigente</t>
        </is>
      </c>
      <c r="D53" s="4" t="inlineStr">
        <is>
          <t>Procesos con matriz actualizada en el año / 24 × 100</t>
        </is>
      </c>
      <c r="E53" s="4" t="inlineStr">
        <is>
          <t>Matrices de riesgos por proceso (PE03)</t>
        </is>
      </c>
      <c r="F53" s="4" t="inlineStr">
        <is>
          <t>Anual</t>
        </is>
      </c>
      <c r="G53" s="4" t="inlineStr">
        <is>
          <t>%</t>
        </is>
      </c>
      <c r="H53" s="4" t="inlineStr">
        <is>
          <t>Por definir</t>
        </is>
      </c>
      <c r="I53" s="4" t="inlineStr">
        <is>
          <t>Comité de Calidad / dueños de proceso (por confirmar)</t>
        </is>
      </c>
      <c r="J53" s="4" t="inlineStr">
        <is>
          <t>PE03</t>
        </is>
      </c>
      <c r="K53" s="4" t="inlineStr"/>
      <c r="L53" s="4" t="inlineStr"/>
    </row>
    <row r="54">
      <c r="A54" s="4" t="inlineStr">
        <is>
          <t>PE03-I2</t>
        </is>
      </c>
      <c r="B54" s="4" t="inlineStr">
        <is>
          <t>Proceso</t>
        </is>
      </c>
      <c r="C54" s="4" t="inlineStr">
        <is>
          <t>Riesgos altos con tratamiento</t>
        </is>
      </c>
      <c r="D54" s="4" t="inlineStr">
        <is>
          <t>Riesgos altos con acción en curso o cerrada / riesgos altos × 100</t>
        </is>
      </c>
      <c r="E54" s="4" t="inlineStr">
        <is>
          <t>Matrices de riesgos y registro de tratamiento</t>
        </is>
      </c>
      <c r="F54" s="4" t="inlineStr">
        <is>
          <t>Semestral</t>
        </is>
      </c>
      <c r="G54" s="4" t="inlineStr">
        <is>
          <t>%</t>
        </is>
      </c>
      <c r="H54" s="4" t="inlineStr">
        <is>
          <t>Por definir</t>
        </is>
      </c>
      <c r="I54" s="4" t="inlineStr">
        <is>
          <t>Comité de Calidad / dueños de proceso (por confirmar)</t>
        </is>
      </c>
      <c r="J54" s="4" t="inlineStr">
        <is>
          <t>PE03</t>
        </is>
      </c>
      <c r="K54" s="4" t="inlineStr"/>
      <c r="L54" s="4" t="inlineStr"/>
    </row>
    <row r="55">
      <c r="A55" s="4" t="inlineStr">
        <is>
          <t>PE03-I3</t>
        </is>
      </c>
      <c r="B55" s="4" t="inlineStr">
        <is>
          <t>Proceso</t>
        </is>
      </c>
      <c r="C55" s="4" t="inlineStr">
        <is>
          <t>Acciones sobre riesgos eficaces</t>
        </is>
      </c>
      <c r="D55" s="4" t="inlineStr">
        <is>
          <t>Acciones evaluadas como eficaces / acciones evaluadas × 100</t>
        </is>
      </c>
      <c r="E55" s="4" t="inlineStr">
        <is>
          <t>Evaluación de eficacia de las acciones (PE03)</t>
        </is>
      </c>
      <c r="F55" s="4" t="inlineStr">
        <is>
          <t>Anual</t>
        </is>
      </c>
      <c r="G55" s="4" t="inlineStr">
        <is>
          <t>%</t>
        </is>
      </c>
      <c r="H55" s="4" t="inlineStr">
        <is>
          <t>Por definir</t>
        </is>
      </c>
      <c r="I55" s="4" t="inlineStr">
        <is>
          <t>Comité de Calidad / dueños de proceso (por confirmar)</t>
        </is>
      </c>
      <c r="J55" s="4" t="inlineStr">
        <is>
          <t>PE03</t>
        </is>
      </c>
      <c r="K55" s="4" t="inlineStr"/>
      <c r="L55" s="4" t="inlineStr"/>
    </row>
    <row r="56">
      <c r="A56" s="4" t="inlineStr">
        <is>
          <t>PE04-I1</t>
        </is>
      </c>
      <c r="B56" s="4" t="inlineStr">
        <is>
          <t>Proceso</t>
        </is>
      </c>
      <c r="C56" s="4" t="inlineStr">
        <is>
          <t>Partes interesadas con requisitos determinados</t>
        </is>
      </c>
      <c r="D56" s="4" t="inlineStr">
        <is>
          <t>Partes interesadas con requisitos registrados / partes identificadas × 100</t>
        </is>
      </c>
      <c r="E56" s="4" t="inlineStr">
        <is>
          <t>Registro de partes interesadas (PE04)</t>
        </is>
      </c>
      <c r="F56" s="4" t="inlineStr">
        <is>
          <t>Anual</t>
        </is>
      </c>
      <c r="G56" s="4" t="inlineStr">
        <is>
          <t>%</t>
        </is>
      </c>
      <c r="H56" s="4" t="inlineStr">
        <is>
          <t>Por definir</t>
        </is>
      </c>
      <c r="I56" s="4" t="inlineStr">
        <is>
          <t>Comité de Calidad (por confirmar)</t>
        </is>
      </c>
      <c r="J56" s="4" t="inlineStr">
        <is>
          <t>PE04</t>
        </is>
      </c>
      <c r="K56" s="4" t="inlineStr"/>
      <c r="L56" s="4" t="inlineStr"/>
    </row>
    <row r="57">
      <c r="A57" s="4" t="inlineStr">
        <is>
          <t>PE04-I2</t>
        </is>
      </c>
      <c r="B57" s="4" t="inlineStr">
        <is>
          <t>Proceso</t>
        </is>
      </c>
      <c r="C57" s="4" t="inlineStr">
        <is>
          <t>Consultas realizadas con grupos de interés</t>
        </is>
      </c>
      <c r="D57" s="4" t="inlineStr">
        <is>
          <t>Consultas realizadas / consultas programadas × 100</t>
        </is>
      </c>
      <c r="E57" s="4" t="inlineStr">
        <is>
          <t>Actas y registros de consulta</t>
        </is>
      </c>
      <c r="F57" s="4" t="inlineStr">
        <is>
          <t>Anual</t>
        </is>
      </c>
      <c r="G57" s="4" t="inlineStr">
        <is>
          <t>%</t>
        </is>
      </c>
      <c r="H57" s="4" t="inlineStr">
        <is>
          <t>Por definir</t>
        </is>
      </c>
      <c r="I57" s="4" t="inlineStr">
        <is>
          <t>Comité de Calidad (por confirmar)</t>
        </is>
      </c>
      <c r="J57" s="4" t="inlineStr">
        <is>
          <t>PE04</t>
        </is>
      </c>
      <c r="K57" s="4" t="inlineStr"/>
      <c r="L57" s="4" t="inlineStr"/>
    </row>
    <row r="58">
      <c r="A58" s="4" t="inlineStr">
        <is>
          <t>PE04-I3</t>
        </is>
      </c>
      <c r="B58" s="4" t="inlineStr">
        <is>
          <t>Proceso</t>
        </is>
      </c>
      <c r="C58" s="4" t="inlineStr">
        <is>
          <t>Estudiantes y docentes en movilidad</t>
        </is>
      </c>
      <c r="D58" s="4" t="inlineStr">
        <is>
          <t>Según la ficha de PE.03_F01</t>
        </is>
      </c>
      <c r="E58" s="4" t="inlineStr">
        <is>
          <t>Informe de movilidad (oficina de convenios)</t>
        </is>
      </c>
      <c r="F58" s="4" t="inlineStr">
        <is>
          <t>Semestral</t>
        </is>
      </c>
      <c r="G58" s="4" t="inlineStr">
        <is>
          <t>por definir</t>
        </is>
      </c>
      <c r="H58" s="4" t="inlineStr">
        <is>
          <t>Por definir</t>
        </is>
      </c>
      <c r="I58" s="4" t="inlineStr">
        <is>
          <t>Comité de Calidad (por confirmar)</t>
        </is>
      </c>
      <c r="J58" s="4" t="inlineStr">
        <is>
          <t>PE04</t>
        </is>
      </c>
      <c r="K58" s="4" t="inlineStr"/>
      <c r="L58" s="4" t="inlineStr"/>
    </row>
    <row r="59">
      <c r="A59" s="4" t="inlineStr">
        <is>
          <t>PM01-I3</t>
        </is>
      </c>
      <c r="B59" s="4" t="inlineStr">
        <is>
          <t>Proceso</t>
        </is>
      </c>
      <c r="C59" s="4" t="inlineStr">
        <is>
          <t>Programas con currículo revisado en el periodo</t>
        </is>
      </c>
      <c r="D59" s="4" t="inlineStr">
        <is>
          <t>Programas con revisión registrada / programas × 100</t>
        </is>
      </c>
      <c r="E59" s="4" t="inlineStr">
        <is>
          <t>Informe de revisión curricular y resoluciones de aprobación</t>
        </is>
      </c>
      <c r="F59" s="4" t="inlineStr">
        <is>
          <t>Anual</t>
        </is>
      </c>
      <c r="G59" s="4" t="inlineStr">
        <is>
          <t>%</t>
        </is>
      </c>
      <c r="H59" s="4" t="inlineStr">
        <is>
          <t>Mayor es mejor</t>
        </is>
      </c>
      <c r="I59" s="4" t="inlineStr">
        <is>
          <t>Director/a de Escuela y comité curricular (por confirmar)</t>
        </is>
      </c>
      <c r="J59" s="4" t="inlineStr">
        <is>
          <t>PM01</t>
        </is>
      </c>
      <c r="K59" s="4" t="inlineStr"/>
      <c r="L59" s="4" t="inlineStr"/>
    </row>
    <row r="60">
      <c r="A60" s="4" t="inlineStr">
        <is>
          <t>PM02-I2</t>
        </is>
      </c>
      <c r="B60" s="4" t="inlineStr">
        <is>
          <t>Proceso</t>
        </is>
      </c>
      <c r="C60" s="4" t="inlineStr">
        <is>
          <t>Ingresantes que completan la nivelación</t>
        </is>
      </c>
      <c r="D60" s="4" t="inlineStr">
        <is>
          <t>Ingresantes que completan / ingresantes convocados × 100</t>
        </is>
      </c>
      <c r="E60" s="4" t="inlineStr">
        <is>
          <t>Registro de nivelación</t>
        </is>
      </c>
      <c r="F60" s="4" t="inlineStr">
        <is>
          <t>Anual</t>
        </is>
      </c>
      <c r="G60" s="4" t="inlineStr">
        <is>
          <t>%</t>
        </is>
      </c>
      <c r="H60" s="4" t="inlineStr">
        <is>
          <t>Por definir</t>
        </is>
      </c>
      <c r="I60" s="4" t="inlineStr">
        <is>
          <t>Director/a de Escuela (por confirmar)</t>
        </is>
      </c>
      <c r="J60" s="4" t="inlineStr">
        <is>
          <t>PM02</t>
        </is>
      </c>
      <c r="K60" s="4" t="inlineStr"/>
      <c r="L60" s="4" t="inlineStr"/>
    </row>
    <row r="61">
      <c r="A61" s="4" t="inlineStr">
        <is>
          <t>PM02-I3</t>
        </is>
      </c>
      <c r="B61" s="4" t="inlineStr">
        <is>
          <t>Proceso</t>
        </is>
      </c>
      <c r="C61" s="4" t="inlineStr">
        <is>
          <t>Porcentaje de atención en los servicios universitarios</t>
        </is>
      </c>
      <c r="D61" s="4" t="inlineStr">
        <is>
          <t>Según la ficha de PS.01_F01</t>
        </is>
      </c>
      <c r="E61" s="4" t="inlineStr">
        <is>
          <t>Informe de servicios universitarios (PS.01_F01)</t>
        </is>
      </c>
      <c r="F61" s="4" t="inlineStr">
        <is>
          <t>Anual</t>
        </is>
      </c>
      <c r="G61" s="4" t="inlineStr">
        <is>
          <t>%</t>
        </is>
      </c>
      <c r="H61" s="4" t="inlineStr">
        <is>
          <t>Mayor es mejor</t>
        </is>
      </c>
      <c r="I61" s="4" t="inlineStr">
        <is>
          <t>Director/a de Escuela (por confirmar)</t>
        </is>
      </c>
      <c r="J61" s="4" t="inlineStr">
        <is>
          <t>PM02</t>
        </is>
      </c>
      <c r="K61" s="4" t="inlineStr"/>
      <c r="L61" s="4" t="inlineStr"/>
    </row>
    <row r="62">
      <c r="A62" s="4" t="inlineStr">
        <is>
          <t>PM03-I4</t>
        </is>
      </c>
      <c r="B62" s="4" t="inlineStr">
        <is>
          <t>Proceso</t>
        </is>
      </c>
      <c r="C62" s="4" t="inlineStr">
        <is>
          <t>Estudiantes satisfechos con su formación</t>
        </is>
      </c>
      <c r="D62" s="4" t="inlineStr">
        <is>
          <t>Según la ficha de PM.01_F01</t>
        </is>
      </c>
      <c r="E62" s="4" t="inlineStr">
        <is>
          <t>Encuesta a estudiantes de los dos últimos años (ME01)</t>
        </is>
      </c>
      <c r="F62" s="4" t="inlineStr">
        <is>
          <t>Anual</t>
        </is>
      </c>
      <c r="G62" s="4" t="inlineStr">
        <is>
          <t>%</t>
        </is>
      </c>
      <c r="H62" s="4" t="inlineStr">
        <is>
          <t>Mayor es mejor</t>
        </is>
      </c>
      <c r="I62" s="4" t="inlineStr">
        <is>
          <t>Director/a de Escuela y departamentos académicos (por confirmar). En el PE FM: Escuelas Profesionales</t>
        </is>
      </c>
      <c r="J62" s="4" t="inlineStr">
        <is>
          <t>PM03</t>
        </is>
      </c>
      <c r="K62" s="4" t="inlineStr"/>
      <c r="L62" s="4" t="inlineStr"/>
    </row>
    <row r="63">
      <c r="A63" s="4" t="inlineStr">
        <is>
          <t>PM04-I1</t>
        </is>
      </c>
      <c r="B63" s="4" t="inlineStr">
        <is>
          <t>Proceso</t>
        </is>
      </c>
      <c r="C63" s="4" t="inlineStr">
        <is>
          <t>Estudiantes con práctica asignada en el plazo</t>
        </is>
      </c>
      <c r="D63" s="4" t="inlineStr">
        <is>
          <t>Estudiantes con plaza asignada al inicio / estudiantes que deben practicar × 100</t>
        </is>
      </c>
      <c r="E63" s="4" t="inlineStr">
        <is>
          <t>Registro de asignación de prácticas</t>
        </is>
      </c>
      <c r="F63" s="4" t="inlineStr">
        <is>
          <t>Semestral</t>
        </is>
      </c>
      <c r="G63" s="4" t="inlineStr">
        <is>
          <t>%</t>
        </is>
      </c>
      <c r="H63" s="4" t="inlineStr">
        <is>
          <t>Por definir</t>
        </is>
      </c>
      <c r="I63" s="4" t="inlineStr">
        <is>
          <t>Coordinador/a de prácticas por programa (por confirmar)</t>
        </is>
      </c>
      <c r="J63" s="4" t="inlineStr">
        <is>
          <t>PM04</t>
        </is>
      </c>
      <c r="K63" s="4" t="inlineStr"/>
      <c r="L63" s="4" t="inlineStr"/>
    </row>
    <row r="64">
      <c r="A64" s="4" t="inlineStr">
        <is>
          <t>PM04-I2</t>
        </is>
      </c>
      <c r="B64" s="4" t="inlineStr">
        <is>
          <t>Proceso</t>
        </is>
      </c>
      <c r="C64" s="4" t="inlineStr">
        <is>
          <t>Prácticas evaluadas con criterios conocidos</t>
        </is>
      </c>
      <c r="D64" s="4" t="inlineStr">
        <is>
          <t>Prácticas con ficha completa / prácticas realizadas × 100</t>
        </is>
      </c>
      <c r="E64" s="4" t="inlineStr">
        <is>
          <t>Fichas de evaluación de la práctica</t>
        </is>
      </c>
      <c r="F64" s="4" t="inlineStr">
        <is>
          <t>Semestral</t>
        </is>
      </c>
      <c r="G64" s="4" t="inlineStr">
        <is>
          <t>%</t>
        </is>
      </c>
      <c r="H64" s="4" t="inlineStr">
        <is>
          <t>Por definir</t>
        </is>
      </c>
      <c r="I64" s="4" t="inlineStr">
        <is>
          <t>Coordinador/a de prácticas por programa (por confirmar)</t>
        </is>
      </c>
      <c r="J64" s="4" t="inlineStr">
        <is>
          <t>PM04</t>
        </is>
      </c>
      <c r="K64" s="4" t="inlineStr"/>
      <c r="L64" s="4" t="inlineStr"/>
    </row>
    <row r="65">
      <c r="A65" s="4" t="inlineStr">
        <is>
          <t>PM04-I3</t>
        </is>
      </c>
      <c r="B65" s="4" t="inlineStr">
        <is>
          <t>Proceso</t>
        </is>
      </c>
      <c r="C65" s="4" t="inlineStr">
        <is>
          <t>Incidentes de bioseguridad por cada 100 estudiantes en práctica</t>
        </is>
      </c>
      <c r="D65" s="4" t="inlineStr">
        <is>
          <t>Incidentes registrados / estudiantes × 100</t>
        </is>
      </c>
      <c r="E65" s="4" t="inlineStr">
        <is>
          <t>Registro de incidentes de bioseguridad</t>
        </is>
      </c>
      <c r="F65" s="4" t="inlineStr">
        <is>
          <t>Trimestral</t>
        </is>
      </c>
      <c r="G65" s="4" t="inlineStr">
        <is>
          <t>%</t>
        </is>
      </c>
      <c r="H65" s="4" t="inlineStr">
        <is>
          <t>Por definir</t>
        </is>
      </c>
      <c r="I65" s="4" t="inlineStr">
        <is>
          <t>Coordinador/a de prácticas por programa (por confirmar)</t>
        </is>
      </c>
      <c r="J65" s="4" t="inlineStr">
        <is>
          <t>PM04</t>
        </is>
      </c>
      <c r="K65" s="4" t="inlineStr"/>
      <c r="L65" s="4" t="inlineStr"/>
    </row>
    <row r="66">
      <c r="A66" s="4" t="inlineStr">
        <is>
          <t>PM04-I4</t>
        </is>
      </c>
      <c r="B66" s="4" t="inlineStr">
        <is>
          <t>Proceso</t>
        </is>
      </c>
      <c r="C66" s="4" t="inlineStr">
        <is>
          <t>Campos clínicos evaluados</t>
        </is>
      </c>
      <c r="D66" s="4" t="inlineStr">
        <is>
          <t>Campos evaluados en el año / campos activos × 100</t>
        </is>
      </c>
      <c r="E66" s="4" t="inlineStr">
        <is>
          <t>Evaluación de campos clínicos (PS06)</t>
        </is>
      </c>
      <c r="F66" s="4" t="inlineStr">
        <is>
          <t>Anual</t>
        </is>
      </c>
      <c r="G66" s="4" t="inlineStr">
        <is>
          <t>%</t>
        </is>
      </c>
      <c r="H66" s="4" t="inlineStr">
        <is>
          <t>Por definir</t>
        </is>
      </c>
      <c r="I66" s="4" t="inlineStr">
        <is>
          <t>Coordinador/a de prácticas por programa (por confirmar)</t>
        </is>
      </c>
      <c r="J66" s="4" t="inlineStr">
        <is>
          <t>PM04</t>
        </is>
      </c>
      <c r="K66" s="4" t="inlineStr"/>
      <c r="L66" s="4" t="inlineStr"/>
    </row>
    <row r="67">
      <c r="A67" s="4" t="inlineStr">
        <is>
          <t>PM05-I3</t>
        </is>
      </c>
      <c r="B67" s="4" t="inlineStr">
        <is>
          <t>Proceso</t>
        </is>
      </c>
      <c r="C67" s="4" t="inlineStr">
        <is>
          <t>Quejas y apelaciones resueltas en plazo</t>
        </is>
      </c>
      <c r="D67" s="4" t="inlineStr">
        <is>
          <t>Resueltas en el plazo fijado / recibidas × 100</t>
        </is>
      </c>
      <c r="E67" s="4" t="inlineStr">
        <is>
          <t>Registro de quejas, reclamos y apelaciones</t>
        </is>
      </c>
      <c r="F67" s="4" t="inlineStr">
        <is>
          <t>Trimestral</t>
        </is>
      </c>
      <c r="G67" s="4" t="inlineStr">
        <is>
          <t>%</t>
        </is>
      </c>
      <c r="H67" s="4" t="inlineStr">
        <is>
          <t>Por definir</t>
        </is>
      </c>
      <c r="I67" s="4" t="inlineStr">
        <is>
          <t>Coordinador/a de tutoría por programa (por confirmar)</t>
        </is>
      </c>
      <c r="J67" s="4" t="inlineStr">
        <is>
          <t>PM05</t>
        </is>
      </c>
      <c r="K67" s="4" t="inlineStr"/>
      <c r="L67" s="4" t="inlineStr"/>
    </row>
    <row r="68">
      <c r="A68" s="4" t="inlineStr">
        <is>
          <t>PM05-I4</t>
        </is>
      </c>
      <c r="B68" s="4" t="inlineStr">
        <is>
          <t>Proceso</t>
        </is>
      </c>
      <c r="C68" s="4" t="inlineStr">
        <is>
          <t>Estudiantes con necesidades especiales con medidas aplicadas</t>
        </is>
      </c>
      <c r="D68" s="4" t="inlineStr">
        <is>
          <t>Con medidas aplicadas / identificados × 100</t>
        </is>
      </c>
      <c r="E68" s="4" t="inlineStr">
        <is>
          <t>Registro de atención a estudiantes con necesidades especiales</t>
        </is>
      </c>
      <c r="F68" s="4" t="inlineStr">
        <is>
          <t>Semestral</t>
        </is>
      </c>
      <c r="G68" s="4" t="inlineStr">
        <is>
          <t>%</t>
        </is>
      </c>
      <c r="H68" s="4" t="inlineStr">
        <is>
          <t>Por definir</t>
        </is>
      </c>
      <c r="I68" s="4" t="inlineStr">
        <is>
          <t>Coordinador/a de tutoría por programa (por confirmar)</t>
        </is>
      </c>
      <c r="J68" s="4" t="inlineStr">
        <is>
          <t>PM05</t>
        </is>
      </c>
      <c r="K68" s="4" t="inlineStr"/>
      <c r="L68" s="4" t="inlineStr"/>
    </row>
    <row r="69">
      <c r="A69" s="4" t="inlineStr">
        <is>
          <t>PM06-I1</t>
        </is>
      </c>
      <c r="B69" s="4" t="inlineStr">
        <is>
          <t>Proceso</t>
        </is>
      </c>
      <c r="C69" s="4" t="inlineStr">
        <is>
          <t>Tesis y trabajos con informe de similitud</t>
        </is>
      </c>
      <c r="D69" s="4" t="inlineStr">
        <is>
          <t>Tesis con informe / tesis presentadas × 100</t>
        </is>
      </c>
      <c r="E69" s="4" t="inlineStr">
        <is>
          <t>Informes de similitud de tesis y trabajos</t>
        </is>
      </c>
      <c r="F69" s="4" t="inlineStr">
        <is>
          <t>Semestral</t>
        </is>
      </c>
      <c r="G69" s="4" t="inlineStr">
        <is>
          <t>%</t>
        </is>
      </c>
      <c r="H69" s="4" t="inlineStr">
        <is>
          <t>Por definir</t>
        </is>
      </c>
      <c r="I69" s="4" t="inlineStr">
        <is>
          <t>Unidad de investigación de la facultad (por confirmar)</t>
        </is>
      </c>
      <c r="J69" s="4" t="inlineStr">
        <is>
          <t>PM06</t>
        </is>
      </c>
      <c r="K69" s="4" t="inlineStr"/>
      <c r="L69" s="4" t="inlineStr"/>
    </row>
    <row r="70">
      <c r="A70" s="4" t="inlineStr">
        <is>
          <t>PM06-I2</t>
        </is>
      </c>
      <c r="B70" s="4" t="inlineStr">
        <is>
          <t>Proceso</t>
        </is>
      </c>
      <c r="C70" s="4" t="inlineStr">
        <is>
          <t>Tesis sustentadas por año</t>
        </is>
      </c>
      <c r="D70" s="4" t="inlineStr">
        <is>
          <t>Número de tesis sustentadas en el año</t>
        </is>
      </c>
      <c r="E70" s="4" t="inlineStr">
        <is>
          <t>Registro de sustentaciones y resoluciones</t>
        </is>
      </c>
      <c r="F70" s="4" t="inlineStr">
        <is>
          <t>Anual</t>
        </is>
      </c>
      <c r="G70" s="4" t="inlineStr">
        <is>
          <t>por definir</t>
        </is>
      </c>
      <c r="H70" s="4" t="inlineStr">
        <is>
          <t>Por definir</t>
        </is>
      </c>
      <c r="I70" s="4" t="inlineStr">
        <is>
          <t>Unidad de investigación de la facultad (por confirmar)</t>
        </is>
      </c>
      <c r="J70" s="4" t="inlineStr">
        <is>
          <t>PM06</t>
        </is>
      </c>
      <c r="K70" s="4" t="inlineStr"/>
      <c r="L70" s="4" t="inlineStr"/>
    </row>
    <row r="71">
      <c r="A71" s="4" t="inlineStr">
        <is>
          <t>PM06-I3</t>
        </is>
      </c>
      <c r="B71" s="4" t="inlineStr">
        <is>
          <t>Proceso</t>
        </is>
      </c>
      <c r="C71" s="4" t="inlineStr">
        <is>
          <t>Tasa de incremento de publicaciones indexadas</t>
        </is>
      </c>
      <c r="D71" s="4" t="inlineStr">
        <is>
          <t>Según la ficha de PM.02_F01</t>
        </is>
      </c>
      <c r="E71" s="4" t="inlineStr">
        <is>
          <t>Informe de la Unidad de Investigación</t>
        </is>
      </c>
      <c r="F71" s="4" t="inlineStr">
        <is>
          <t>Anual</t>
        </is>
      </c>
      <c r="G71" s="4" t="inlineStr">
        <is>
          <t>por definir</t>
        </is>
      </c>
      <c r="H71" s="4" t="inlineStr">
        <is>
          <t>Por definir</t>
        </is>
      </c>
      <c r="I71" s="4" t="inlineStr">
        <is>
          <t>Unidad de investigación de la facultad (por confirmar)</t>
        </is>
      </c>
      <c r="J71" s="4" t="inlineStr">
        <is>
          <t>PM06</t>
        </is>
      </c>
      <c r="K71" s="4" t="inlineStr"/>
      <c r="L71" s="4" t="inlineStr"/>
    </row>
    <row r="72">
      <c r="A72" s="4" t="inlineStr">
        <is>
          <t>PM07-I1</t>
        </is>
      </c>
      <c r="B72" s="4" t="inlineStr">
        <is>
          <t>Proceso</t>
        </is>
      </c>
      <c r="C72" s="4" t="inlineStr">
        <is>
          <t>Proyectos articulados con el currículo</t>
        </is>
      </c>
      <c r="D72" s="4" t="inlineStr">
        <is>
          <t>Proyectos articulados / proyectos ejecutados × 100</t>
        </is>
      </c>
      <c r="E72" s="4" t="inlineStr">
        <is>
          <t>Registro de proyectos de responsabilidad social</t>
        </is>
      </c>
      <c r="F72" s="4" t="inlineStr">
        <is>
          <t>Anual</t>
        </is>
      </c>
      <c r="G72" s="4" t="inlineStr">
        <is>
          <t>%</t>
        </is>
      </c>
      <c r="H72" s="4" t="inlineStr">
        <is>
          <t>Por definir</t>
        </is>
      </c>
      <c r="I72" s="4" t="inlineStr">
        <is>
          <t>Unidad de RSU de la facultad (por confirmar)</t>
        </is>
      </c>
      <c r="J72" s="4" t="inlineStr">
        <is>
          <t>PM07</t>
        </is>
      </c>
      <c r="K72" s="4" t="inlineStr"/>
      <c r="L72" s="4" t="inlineStr"/>
    </row>
    <row r="73">
      <c r="A73" s="4" t="inlineStr">
        <is>
          <t>PM07-I2</t>
        </is>
      </c>
      <c r="B73" s="4" t="inlineStr">
        <is>
          <t>Proceso</t>
        </is>
      </c>
      <c r="C73" s="4" t="inlineStr">
        <is>
          <t>Estudiantes participantes en proyectos</t>
        </is>
      </c>
      <c r="D73" s="4" t="inlineStr">
        <is>
          <t>Estudiantes participantes / estudiantes del programa × 100</t>
        </is>
      </c>
      <c r="E73" s="4" t="inlineStr">
        <is>
          <t>Registro de participantes</t>
        </is>
      </c>
      <c r="F73" s="4" t="inlineStr">
        <is>
          <t>Semestral</t>
        </is>
      </c>
      <c r="G73" s="4" t="inlineStr">
        <is>
          <t>%</t>
        </is>
      </c>
      <c r="H73" s="4" t="inlineStr">
        <is>
          <t>Por definir</t>
        </is>
      </c>
      <c r="I73" s="4" t="inlineStr">
        <is>
          <t>Unidad de RSU de la facultad (por confirmar)</t>
        </is>
      </c>
      <c r="J73" s="4" t="inlineStr">
        <is>
          <t>PM07</t>
        </is>
      </c>
      <c r="K73" s="4" t="inlineStr"/>
      <c r="L73" s="4" t="inlineStr"/>
    </row>
    <row r="74">
      <c r="A74" s="4" t="inlineStr">
        <is>
          <t>PM07-I3</t>
        </is>
      </c>
      <c r="B74" s="4" t="inlineStr">
        <is>
          <t>Proceso</t>
        </is>
      </c>
      <c r="C74" s="4" t="inlineStr">
        <is>
          <t>Participantes satisfechos con los programas de responsabilidad social</t>
        </is>
      </c>
      <c r="D74" s="4" t="inlineStr">
        <is>
          <t>Satisfechos / participantes encuestados × 100</t>
        </is>
      </c>
      <c r="E74" s="4" t="inlineStr">
        <is>
          <t>Encuesta a participantes (CERSEU)</t>
        </is>
      </c>
      <c r="F74" s="4" t="inlineStr">
        <is>
          <t>Anual</t>
        </is>
      </c>
      <c r="G74" s="4" t="inlineStr">
        <is>
          <t>%</t>
        </is>
      </c>
      <c r="H74" s="4" t="inlineStr">
        <is>
          <t>Por definir</t>
        </is>
      </c>
      <c r="I74" s="4" t="inlineStr">
        <is>
          <t>Unidad de RSU de la facultad (por confirmar). En el PE FM: CERSEU</t>
        </is>
      </c>
      <c r="J74" s="4" t="inlineStr">
        <is>
          <t>PM07</t>
        </is>
      </c>
      <c r="K74" s="4" t="inlineStr"/>
      <c r="L74" s="4" t="inlineStr"/>
    </row>
    <row r="75">
      <c r="A75" s="4" t="inlineStr">
        <is>
          <t>ME01-I1</t>
        </is>
      </c>
      <c r="B75" s="4" t="inlineStr">
        <is>
          <t>Proceso</t>
        </is>
      </c>
      <c r="C75" s="4" t="inlineStr">
        <is>
          <t>Tasa de respuesta de las encuestas</t>
        </is>
      </c>
      <c r="D75" s="4" t="inlineStr">
        <is>
          <t>Respuestas / personas convocadas × 100</t>
        </is>
      </c>
      <c r="E75" s="4" t="inlineStr">
        <is>
          <t>Informe de aplicación de encuestas (ME01)</t>
        </is>
      </c>
      <c r="F75" s="4" t="inlineStr">
        <is>
          <t>Semestral</t>
        </is>
      </c>
      <c r="G75" s="4" t="inlineStr">
        <is>
          <t>%</t>
        </is>
      </c>
      <c r="H75" s="4" t="inlineStr">
        <is>
          <t>Mayor es mejor</t>
        </is>
      </c>
      <c r="I75" s="4" t="inlineStr">
        <is>
          <t>Coordinador/a de calidad de la facultad (por confirmar)</t>
        </is>
      </c>
      <c r="J75" s="4" t="inlineStr">
        <is>
          <t>ME01</t>
        </is>
      </c>
      <c r="K75" s="4" t="inlineStr"/>
      <c r="L75" s="4" t="inlineStr"/>
    </row>
    <row r="76">
      <c r="A76" s="4" t="inlineStr">
        <is>
          <t>ME01-I2</t>
        </is>
      </c>
      <c r="B76" s="4" t="inlineStr">
        <is>
          <t>Proceso</t>
        </is>
      </c>
      <c r="C76" s="4" t="inlineStr">
        <is>
          <t>Estudiantes satisfechos con su formación</t>
        </is>
      </c>
      <c r="D76" s="4" t="inlineStr">
        <is>
          <t>Según la ficha de PM.01_F01</t>
        </is>
      </c>
      <c r="E76" s="4" t="inlineStr">
        <is>
          <t>Encuesta a estudiantes de los dos últimos años</t>
        </is>
      </c>
      <c r="F76" s="4" t="inlineStr">
        <is>
          <t>Anual</t>
        </is>
      </c>
      <c r="G76" s="4" t="inlineStr">
        <is>
          <t>%</t>
        </is>
      </c>
      <c r="H76" s="4" t="inlineStr">
        <is>
          <t>Mayor es mejor</t>
        </is>
      </c>
      <c r="I76" s="4" t="inlineStr">
        <is>
          <t>Coordinador/a de calidad de la facultad (por confirmar). En el PE FM: Escuelas Profesionales</t>
        </is>
      </c>
      <c r="J76" s="4" t="inlineStr">
        <is>
          <t>ME01</t>
        </is>
      </c>
      <c r="K76" s="4" t="inlineStr"/>
      <c r="L76" s="4" t="inlineStr"/>
    </row>
    <row r="77">
      <c r="A77" s="4" t="inlineStr">
        <is>
          <t>ME01-I3</t>
        </is>
      </c>
      <c r="B77" s="4" t="inlineStr">
        <is>
          <t>Proceso</t>
        </is>
      </c>
      <c r="C77" s="4" t="inlineStr">
        <is>
          <t>Satisfacción con los servicios administrativos</t>
        </is>
      </c>
      <c r="D77" s="4" t="inlineStr">
        <is>
          <t>Satisfechos / encuestados × 100</t>
        </is>
      </c>
      <c r="E77" s="4" t="inlineStr">
        <is>
          <t>Encuesta a estudiantes, docentes y egresados</t>
        </is>
      </c>
      <c r="F77" s="4" t="inlineStr">
        <is>
          <t>Anual</t>
        </is>
      </c>
      <c r="G77" s="4" t="inlineStr">
        <is>
          <t>%</t>
        </is>
      </c>
      <c r="H77" s="4" t="inlineStr">
        <is>
          <t>Por definir</t>
        </is>
      </c>
      <c r="I77" s="4" t="inlineStr">
        <is>
          <t>Coordinador/a de calidad de la facultad (por confirmar)</t>
        </is>
      </c>
      <c r="J77" s="4" t="inlineStr">
        <is>
          <t>ME01</t>
        </is>
      </c>
      <c r="K77" s="4" t="inlineStr"/>
      <c r="L77" s="4" t="inlineStr"/>
    </row>
    <row r="78">
      <c r="A78" s="4" t="inlineStr">
        <is>
          <t>ME02-I1</t>
        </is>
      </c>
      <c r="B78" s="4" t="inlineStr">
        <is>
          <t>Proceso</t>
        </is>
      </c>
      <c r="C78" s="4" t="inlineStr">
        <is>
          <t>Logro del perfil de egreso</t>
        </is>
      </c>
      <c r="D78" s="4" t="inlineStr">
        <is>
          <t>Egresados que alcanzan el nivel esperado / egresados evaluados × 100</t>
        </is>
      </c>
      <c r="E78" s="4" t="inlineStr">
        <is>
          <t>Instrumentos de logro del perfil de egreso</t>
        </is>
      </c>
      <c r="F78" s="4" t="inlineStr">
        <is>
          <t>Anual</t>
        </is>
      </c>
      <c r="G78" s="4" t="inlineStr">
        <is>
          <t>%</t>
        </is>
      </c>
      <c r="H78" s="4" t="inlineStr">
        <is>
          <t>Por definir</t>
        </is>
      </c>
      <c r="I78" s="4" t="inlineStr">
        <is>
          <t>Director/a de Escuela (por confirmar)</t>
        </is>
      </c>
      <c r="J78" s="4" t="inlineStr">
        <is>
          <t>ME02</t>
        </is>
      </c>
      <c r="K78" s="4" t="inlineStr"/>
      <c r="L78" s="4" t="inlineStr"/>
    </row>
    <row r="79">
      <c r="A79" s="4" t="inlineStr">
        <is>
          <t>ME02-I3</t>
        </is>
      </c>
      <c r="B79" s="4" t="inlineStr">
        <is>
          <t>Proceso</t>
        </is>
      </c>
      <c r="C79" s="4" t="inlineStr">
        <is>
          <t>Deserción por cohorte</t>
        </is>
      </c>
      <c r="D79" s="4" t="inlineStr">
        <is>
          <t>Estudiantes que abandonan / estudiantes de la cohorte × 100</t>
        </is>
      </c>
      <c r="E79" s="4" t="inlineStr">
        <is>
          <t>Registro de matrícula por cohorte</t>
        </is>
      </c>
      <c r="F79" s="4" t="inlineStr">
        <is>
          <t>Semestral</t>
        </is>
      </c>
      <c r="G79" s="4" t="inlineStr">
        <is>
          <t>%</t>
        </is>
      </c>
      <c r="H79" s="4" t="inlineStr">
        <is>
          <t>Por definir</t>
        </is>
      </c>
      <c r="I79" s="4" t="inlineStr">
        <is>
          <t>Director/a de Escuela (por confirmar)</t>
        </is>
      </c>
      <c r="J79" s="4" t="inlineStr">
        <is>
          <t>ME02</t>
        </is>
      </c>
      <c r="K79" s="4" t="inlineStr"/>
      <c r="L79" s="4" t="inlineStr"/>
    </row>
    <row r="80">
      <c r="A80" s="4" t="inlineStr">
        <is>
          <t>ME03-I1</t>
        </is>
      </c>
      <c r="B80" s="4" t="inlineStr">
        <is>
          <t>Proceso</t>
        </is>
      </c>
      <c r="C80" s="4" t="inlineStr">
        <is>
          <t>Indicadores con dato en el periodo</t>
        </is>
      </c>
      <c r="D80" s="4" t="inlineStr">
        <is>
          <t>Indicadores con dato / indicadores definidos × 100</t>
        </is>
      </c>
      <c r="E80" s="4" t="inlineStr">
        <is>
          <t>Cuadro de mando (ME03)</t>
        </is>
      </c>
      <c r="F80" s="4" t="inlineStr">
        <is>
          <t>Semestral</t>
        </is>
      </c>
      <c r="G80" s="4" t="inlineStr">
        <is>
          <t>%</t>
        </is>
      </c>
      <c r="H80" s="4" t="inlineStr">
        <is>
          <t>Por definir</t>
        </is>
      </c>
      <c r="I80" s="4" t="inlineStr">
        <is>
          <t>Coordinador/a de calidad de la facultad (por confirmar)</t>
        </is>
      </c>
      <c r="J80" s="4" t="inlineStr">
        <is>
          <t>ME03</t>
        </is>
      </c>
      <c r="K80" s="4" t="inlineStr"/>
      <c r="L80" s="4" t="inlineStr"/>
    </row>
    <row r="81">
      <c r="A81" s="4" t="inlineStr">
        <is>
          <t>ME03-I2</t>
        </is>
      </c>
      <c r="B81" s="4" t="inlineStr">
        <is>
          <t>Proceso</t>
        </is>
      </c>
      <c r="C81" s="4" t="inlineStr">
        <is>
          <t>Indicadores en meta</t>
        </is>
      </c>
      <c r="D81" s="4" t="inlineStr">
        <is>
          <t>Indicadores en meta / indicadores medidos × 100</t>
        </is>
      </c>
      <c r="E81" s="4" t="inlineStr">
        <is>
          <t>Cuadro de mando (ME03)</t>
        </is>
      </c>
      <c r="F81" s="4" t="inlineStr">
        <is>
          <t>Semestral</t>
        </is>
      </c>
      <c r="G81" s="4" t="inlineStr">
        <is>
          <t>%</t>
        </is>
      </c>
      <c r="H81" s="4" t="inlineStr">
        <is>
          <t>Por definir</t>
        </is>
      </c>
      <c r="I81" s="4" t="inlineStr">
        <is>
          <t>Coordinador/a de calidad de la facultad (por confirmar)</t>
        </is>
      </c>
      <c r="J81" s="4" t="inlineStr">
        <is>
          <t>ME03</t>
        </is>
      </c>
      <c r="K81" s="4" t="inlineStr"/>
      <c r="L81" s="4" t="inlineStr"/>
    </row>
    <row r="82">
      <c r="A82" s="4" t="inlineStr">
        <is>
          <t>ME03-I3</t>
        </is>
      </c>
      <c r="B82" s="4" t="inlineStr">
        <is>
          <t>Proceso</t>
        </is>
      </c>
      <c r="C82" s="4" t="inlineStr">
        <is>
          <t>Instrumentos validados</t>
        </is>
      </c>
      <c r="D82" s="4" t="inlineStr">
        <is>
          <t>Instrumentos validados / instrumentos en uso × 100</t>
        </is>
      </c>
      <c r="E82" s="4" t="inlineStr">
        <is>
          <t>Registro de validación de instrumentos</t>
        </is>
      </c>
      <c r="F82" s="4" t="inlineStr">
        <is>
          <t>Anual</t>
        </is>
      </c>
      <c r="G82" s="4" t="inlineStr">
        <is>
          <t>%</t>
        </is>
      </c>
      <c r="H82" s="4" t="inlineStr">
        <is>
          <t>Por definir</t>
        </is>
      </c>
      <c r="I82" s="4" t="inlineStr">
        <is>
          <t>Coordinador/a de calidad de la facultad (por confirmar)</t>
        </is>
      </c>
      <c r="J82" s="4" t="inlineStr">
        <is>
          <t>ME03</t>
        </is>
      </c>
      <c r="K82" s="4" t="inlineStr"/>
      <c r="L82" s="4" t="inlineStr"/>
    </row>
    <row r="83">
      <c r="A83" s="4" t="inlineStr">
        <is>
          <t>ME06-I1</t>
        </is>
      </c>
      <c r="B83" s="4" t="inlineStr">
        <is>
          <t>Proceso</t>
        </is>
      </c>
      <c r="C83" s="4" t="inlineStr">
        <is>
          <t>Información pública actualizada</t>
        </is>
      </c>
      <c r="D83" s="4" t="inlineStr">
        <is>
          <t>Elementos vigentes en el semestre / elementos del inventario × 100</t>
        </is>
      </c>
      <c r="E83" s="4" t="inlineStr">
        <is>
          <t>Inventario de información pública (ME06)</t>
        </is>
      </c>
      <c r="F83" s="4" t="inlineStr">
        <is>
          <t>Semestral</t>
        </is>
      </c>
      <c r="G83" s="4" t="inlineStr">
        <is>
          <t>%</t>
        </is>
      </c>
      <c r="H83" s="4" t="inlineStr">
        <is>
          <t>Por definir</t>
        </is>
      </c>
      <c r="I83" s="4" t="inlineStr">
        <is>
          <t>Director/a de Escuela y oficina de comunicaciones (por confirmar)</t>
        </is>
      </c>
      <c r="J83" s="4" t="inlineStr">
        <is>
          <t>ME06</t>
        </is>
      </c>
      <c r="K83" s="4" t="inlineStr"/>
      <c r="L83" s="4" t="inlineStr"/>
    </row>
    <row r="84">
      <c r="A84" s="4" t="inlineStr">
        <is>
          <t>ME06-I2</t>
        </is>
      </c>
      <c r="B84" s="4" t="inlineStr">
        <is>
          <t>Proceso</t>
        </is>
      </c>
      <c r="C84" s="4" t="inlineStr">
        <is>
          <t>Consultas atendidas en plazo</t>
        </is>
      </c>
      <c r="D84" s="4" t="inlineStr">
        <is>
          <t>Consultas atendidas en plazo / consultas recibidas × 100</t>
        </is>
      </c>
      <c r="E84" s="4" t="inlineStr">
        <is>
          <t>Registro de consultas</t>
        </is>
      </c>
      <c r="F84" s="4" t="inlineStr">
        <is>
          <t>Trimestral</t>
        </is>
      </c>
      <c r="G84" s="4" t="inlineStr">
        <is>
          <t>%</t>
        </is>
      </c>
      <c r="H84" s="4" t="inlineStr">
        <is>
          <t>Por definir</t>
        </is>
      </c>
      <c r="I84" s="4" t="inlineStr">
        <is>
          <t>Director/a de Escuela y oficina de comunicaciones (por confirmar)</t>
        </is>
      </c>
      <c r="J84" s="4" t="inlineStr">
        <is>
          <t>ME06</t>
        </is>
      </c>
      <c r="K84" s="4" t="inlineStr"/>
      <c r="L84" s="4" t="inlineStr"/>
    </row>
    <row r="85">
      <c r="A85" s="4" t="inlineStr">
        <is>
          <t>PS02-I1</t>
        </is>
      </c>
      <c r="B85" s="4" t="inlineStr">
        <is>
          <t>Proceso</t>
        </is>
      </c>
      <c r="C85" s="4" t="inlineStr">
        <is>
          <t>Personal con evaluación de desempeño</t>
        </is>
      </c>
      <c r="D85" s="4" t="inlineStr">
        <is>
          <t>Personal evaluado / personal × 100</t>
        </is>
      </c>
      <c r="E85" s="4" t="inlineStr">
        <is>
          <t>Registro de evaluación del personal administrativo</t>
        </is>
      </c>
      <c r="F85" s="4" t="inlineStr">
        <is>
          <t>Anual</t>
        </is>
      </c>
      <c r="G85" s="4" t="inlineStr">
        <is>
          <t>%</t>
        </is>
      </c>
      <c r="H85" s="4" t="inlineStr">
        <is>
          <t>Por definir</t>
        </is>
      </c>
      <c r="I85" s="4" t="inlineStr">
        <is>
          <t>Dirección administrativa de la facultad (por confirmar)</t>
        </is>
      </c>
      <c r="J85" s="4" t="inlineStr">
        <is>
          <t>PS02</t>
        </is>
      </c>
      <c r="K85" s="4" t="inlineStr"/>
      <c r="L85" s="4" t="inlineStr"/>
    </row>
    <row r="86">
      <c r="A86" s="4" t="inlineStr">
        <is>
          <t>PS02-I2</t>
        </is>
      </c>
      <c r="B86" s="4" t="inlineStr">
        <is>
          <t>Proceso</t>
        </is>
      </c>
      <c r="C86" s="4" t="inlineStr">
        <is>
          <t>Cumplimiento del plan anual de formación</t>
        </is>
      </c>
      <c r="D86" s="4" t="inlineStr">
        <is>
          <t>Actividades ejecutadas / programadas × 100</t>
        </is>
      </c>
      <c r="E86" s="4" t="inlineStr">
        <is>
          <t>Plan anual de formación del personal</t>
        </is>
      </c>
      <c r="F86" s="4" t="inlineStr">
        <is>
          <t>Anual</t>
        </is>
      </c>
      <c r="G86" s="4" t="inlineStr">
        <is>
          <t>%</t>
        </is>
      </c>
      <c r="H86" s="4" t="inlineStr">
        <is>
          <t>Por definir</t>
        </is>
      </c>
      <c r="I86" s="4" t="inlineStr">
        <is>
          <t>Dirección administrativa de la facultad (por confirmar)</t>
        </is>
      </c>
      <c r="J86" s="4" t="inlineStr">
        <is>
          <t>PS02</t>
        </is>
      </c>
      <c r="K86" s="4" t="inlineStr"/>
      <c r="L86" s="4" t="inlineStr"/>
    </row>
    <row r="87">
      <c r="A87" s="4" t="inlineStr">
        <is>
          <t>PS02-I3</t>
        </is>
      </c>
      <c r="B87" s="4" t="inlineStr">
        <is>
          <t>Proceso</t>
        </is>
      </c>
      <c r="C87" s="4" t="inlineStr">
        <is>
          <t>Estudiantes y docentes satisfechos con los servicios administrativos</t>
        </is>
      </c>
      <c r="D87" s="4" t="inlineStr">
        <is>
          <t>Satisfechos / encuestados × 100</t>
        </is>
      </c>
      <c r="E87" s="4" t="inlineStr">
        <is>
          <t>Encuesta a estudiantes y docentes (ME01)</t>
        </is>
      </c>
      <c r="F87" s="4" t="inlineStr">
        <is>
          <t>Anual</t>
        </is>
      </c>
      <c r="G87" s="4" t="inlineStr">
        <is>
          <t>%</t>
        </is>
      </c>
      <c r="H87" s="4" t="inlineStr">
        <is>
          <t>Por definir</t>
        </is>
      </c>
      <c r="I87" s="4" t="inlineStr">
        <is>
          <t>Dirección administrativa de la facultad (por confirmar)</t>
        </is>
      </c>
      <c r="J87" s="4" t="inlineStr">
        <is>
          <t>PS02</t>
        </is>
      </c>
      <c r="K87" s="4" t="inlineStr"/>
      <c r="L87" s="4" t="inlineStr"/>
    </row>
    <row r="88">
      <c r="A88" s="4" t="inlineStr">
        <is>
          <t>PS03-I1</t>
        </is>
      </c>
      <c r="B88" s="4" t="inlineStr">
        <is>
          <t>Proceso</t>
        </is>
      </c>
      <c r="C88" s="4" t="inlineStr">
        <is>
          <t>Mantenimientos ejecutados</t>
        </is>
      </c>
      <c r="D88" s="4" t="inlineStr">
        <is>
          <t>Mantenimientos ejecutados / programados × 100</t>
        </is>
      </c>
      <c r="E88" s="4" t="inlineStr">
        <is>
          <t>Plan de mantenimiento de la facultad</t>
        </is>
      </c>
      <c r="F88" s="4" t="inlineStr">
        <is>
          <t>Trimestral</t>
        </is>
      </c>
      <c r="G88" s="4" t="inlineStr">
        <is>
          <t>%</t>
        </is>
      </c>
      <c r="H88" s="4" t="inlineStr">
        <is>
          <t>Por definir</t>
        </is>
      </c>
      <c r="I88" s="4" t="inlineStr">
        <is>
          <t>Dirección administrativa / responsables de laboratorio (por confirmar)</t>
        </is>
      </c>
      <c r="J88" s="4" t="inlineStr">
        <is>
          <t>PS03</t>
        </is>
      </c>
      <c r="K88" s="4" t="inlineStr"/>
      <c r="L88" s="4" t="inlineStr"/>
    </row>
    <row r="89">
      <c r="A89" s="4" t="inlineStr">
        <is>
          <t>PS03-I2</t>
        </is>
      </c>
      <c r="B89" s="4" t="inlineStr">
        <is>
          <t>Proceso</t>
        </is>
      </c>
      <c r="C89" s="4" t="inlineStr">
        <is>
          <t>Equipos calibrados o verificados</t>
        </is>
      </c>
      <c r="D89" s="4" t="inlineStr">
        <is>
          <t>Equipos con calibración vigente / equipos que la requieren × 100</t>
        </is>
      </c>
      <c r="E89" s="4" t="inlineStr">
        <is>
          <t>Registro de calibración de equipos</t>
        </is>
      </c>
      <c r="F89" s="4" t="inlineStr">
        <is>
          <t>Anual</t>
        </is>
      </c>
      <c r="G89" s="4" t="inlineStr">
        <is>
          <t>%</t>
        </is>
      </c>
      <c r="H89" s="4" t="inlineStr">
        <is>
          <t>Por definir</t>
        </is>
      </c>
      <c r="I89" s="4" t="inlineStr">
        <is>
          <t>Dirección administrativa / responsables de laboratorio (por confirmar)</t>
        </is>
      </c>
      <c r="J89" s="4" t="inlineStr">
        <is>
          <t>PS03</t>
        </is>
      </c>
      <c r="K89" s="4" t="inlineStr"/>
      <c r="L89" s="4" t="inlineStr"/>
    </row>
    <row r="90">
      <c r="A90" s="4" t="inlineStr">
        <is>
          <t>PS04-I1</t>
        </is>
      </c>
      <c r="B90" s="4" t="inlineStr">
        <is>
          <t>Proceso</t>
        </is>
      </c>
      <c r="C90" s="4" t="inlineStr">
        <is>
          <t>Bibliografía de sílabos disponible</t>
        </is>
      </c>
      <c r="D90" s="4" t="inlineStr">
        <is>
          <t>Títulos disponibles / títulos requeridos × 100</t>
        </is>
      </c>
      <c r="E90" s="4" t="inlineStr">
        <is>
          <t>Inventario de bibliografía de los sílabos</t>
        </is>
      </c>
      <c r="F90" s="4" t="inlineStr">
        <is>
          <t>Semestral</t>
        </is>
      </c>
      <c r="G90" s="4" t="inlineStr">
        <is>
          <t>%</t>
        </is>
      </c>
      <c r="H90" s="4" t="inlineStr">
        <is>
          <t>Por definir</t>
        </is>
      </c>
      <c r="I90" s="4" t="inlineStr">
        <is>
          <t>Biblioteca de la facultad / unidad de tecnologías (por confirmar)</t>
        </is>
      </c>
      <c r="J90" s="4" t="inlineStr">
        <is>
          <t>PS04</t>
        </is>
      </c>
      <c r="K90" s="4" t="inlineStr"/>
      <c r="L90" s="4" t="inlineStr"/>
    </row>
    <row r="91">
      <c r="A91" s="4" t="inlineStr">
        <is>
          <t>PS04-I3</t>
        </is>
      </c>
      <c r="B91" s="4" t="inlineStr">
        <is>
          <t>Proceso</t>
        </is>
      </c>
      <c r="C91" s="4" t="inlineStr">
        <is>
          <t>Disponibilidad de la plataforma virtual</t>
        </is>
      </c>
      <c r="D91" s="4" t="inlineStr">
        <is>
          <t>Horas disponibles / horas programadas × 100</t>
        </is>
      </c>
      <c r="E91" s="4" t="inlineStr">
        <is>
          <t>Registro de disponibilidad de la plataforma</t>
        </is>
      </c>
      <c r="F91" s="4" t="inlineStr">
        <is>
          <t>Mensual</t>
        </is>
      </c>
      <c r="G91" s="4" t="inlineStr">
        <is>
          <t>%</t>
        </is>
      </c>
      <c r="H91" s="4" t="inlineStr">
        <is>
          <t>Por definir</t>
        </is>
      </c>
      <c r="I91" s="4" t="inlineStr">
        <is>
          <t>Biblioteca de la facultad / unidad de tecnologías (por confirmar)</t>
        </is>
      </c>
      <c r="J91" s="4" t="inlineStr">
        <is>
          <t>PS04</t>
        </is>
      </c>
      <c r="K91" s="4" t="inlineStr"/>
      <c r="L91" s="4" t="inlineStr"/>
    </row>
    <row r="92">
      <c r="A92" s="4" t="inlineStr">
        <is>
          <t>PS06-I1</t>
        </is>
      </c>
      <c r="B92" s="4" t="inlineStr">
        <is>
          <t>Proceso</t>
        </is>
      </c>
      <c r="C92" s="4" t="inlineStr">
        <is>
          <t>Campos clínicos con convenio vigente</t>
        </is>
      </c>
      <c r="D92" s="4" t="inlineStr">
        <is>
          <t>Campos con convenio vigente / campos usados × 100</t>
        </is>
      </c>
      <c r="E92" s="4" t="inlineStr">
        <is>
          <t>Registro de convenios y campos clínicos</t>
        </is>
      </c>
      <c r="F92" s="4" t="inlineStr">
        <is>
          <t>Semestral</t>
        </is>
      </c>
      <c r="G92" s="4" t="inlineStr">
        <is>
          <t>%</t>
        </is>
      </c>
      <c r="H92" s="4" t="inlineStr">
        <is>
          <t>Por definir</t>
        </is>
      </c>
      <c r="I92" s="4" t="inlineStr">
        <is>
          <t>Decanato / oficina de convenios (por confirmar)</t>
        </is>
      </c>
      <c r="J92" s="4" t="inlineStr">
        <is>
          <t>PS06</t>
        </is>
      </c>
      <c r="K92" s="4" t="inlineStr"/>
      <c r="L92" s="4" t="inlineStr"/>
    </row>
    <row r="93">
      <c r="A93" s="4" t="inlineStr">
        <is>
          <t>PS06-I2</t>
        </is>
      </c>
      <c r="B93" s="4" t="inlineStr">
        <is>
          <t>Proceso</t>
        </is>
      </c>
      <c r="C93" s="4" t="inlineStr">
        <is>
          <t>Proveedores evaluados</t>
        </is>
      </c>
      <c r="D93" s="4" t="inlineStr">
        <is>
          <t>Proveedores evaluados en el año / proveedores activos × 100</t>
        </is>
      </c>
      <c r="E93" s="4" t="inlineStr">
        <is>
          <t>Evaluación de proveedores (PS06)</t>
        </is>
      </c>
      <c r="F93" s="4" t="inlineStr">
        <is>
          <t>Anual</t>
        </is>
      </c>
      <c r="G93" s="4" t="inlineStr">
        <is>
          <t>%</t>
        </is>
      </c>
      <c r="H93" s="4" t="inlineStr">
        <is>
          <t>Por definir</t>
        </is>
      </c>
      <c r="I93" s="4" t="inlineStr">
        <is>
          <t>Decanato / oficina de convenios (por confirmar)</t>
        </is>
      </c>
      <c r="J93" s="4" t="inlineStr">
        <is>
          <t>PS06</t>
        </is>
      </c>
      <c r="K93" s="4" t="inlineStr"/>
      <c r="L93" s="4" t="inlineStr"/>
    </row>
    <row r="94">
      <c r="A94" s="4" t="inlineStr">
        <is>
          <t>PS06-I3</t>
        </is>
      </c>
      <c r="B94" s="4" t="inlineStr">
        <is>
          <t>Proceso</t>
        </is>
      </c>
      <c r="C94" s="4" t="inlineStr">
        <is>
          <t>Evaluaciones satisfactorias de campos clínicos</t>
        </is>
      </c>
      <c r="D94" s="4" t="inlineStr">
        <is>
          <t>Campos con evaluación satisfactoria / campos evaluados × 100</t>
        </is>
      </c>
      <c r="E94" s="4" t="inlineStr">
        <is>
          <t>Evaluación de campos clínicos (PS06)</t>
        </is>
      </c>
      <c r="F94" s="4" t="inlineStr">
        <is>
          <t>Anual</t>
        </is>
      </c>
      <c r="G94" s="4" t="inlineStr">
        <is>
          <t>%</t>
        </is>
      </c>
      <c r="H94" s="4" t="inlineStr">
        <is>
          <t>Por definir</t>
        </is>
      </c>
      <c r="I94" s="4" t="inlineStr">
        <is>
          <t>Decanato / oficina de convenios (por confirmar)</t>
        </is>
      </c>
      <c r="J94" s="4" t="inlineStr">
        <is>
          <t>PS06</t>
        </is>
      </c>
      <c r="K94" s="4" t="inlineStr"/>
      <c r="L94" s="4" t="inlineStr"/>
    </row>
    <row r="95">
      <c r="A95" s="4" t="inlineStr">
        <is>
          <t>PM09-P1</t>
        </is>
      </c>
      <c r="B95" s="4" t="inlineStr">
        <is>
          <t>Proceso</t>
        </is>
      </c>
      <c r="C95" s="4" t="inlineStr">
        <is>
          <t>Evaluaciones con criterios comunicados antes de su aplicación</t>
        </is>
      </c>
      <c r="D95" s="4" t="inlineStr">
        <is>
          <t>Evaluaciones con criterios comunicados / evaluaciones aplicadas × 100</t>
        </is>
      </c>
      <c r="E95" s="4" t="inlineStr">
        <is>
          <t>Registro de comunicación de criterios (PM09)</t>
        </is>
      </c>
      <c r="F95" s="4" t="inlineStr">
        <is>
          <t>Semestral</t>
        </is>
      </c>
      <c r="G95" s="4" t="inlineStr">
        <is>
          <t>%</t>
        </is>
      </c>
      <c r="H95" s="4" t="inlineStr">
        <is>
          <t>Por definir</t>
        </is>
      </c>
      <c r="I95" s="4" t="inlineStr">
        <is>
          <t>Por confirmar si se aprueba la ficha</t>
        </is>
      </c>
      <c r="J95" s="4" t="inlineStr">
        <is>
          <t>PM09</t>
        </is>
      </c>
      <c r="K95" s="4" t="inlineStr"/>
      <c r="L95" s="4" t="inlineStr"/>
    </row>
    <row r="96">
      <c r="A96" s="4" t="inlineStr">
        <is>
          <t>PM09-P2</t>
        </is>
      </c>
      <c r="B96" s="4" t="inlineStr">
        <is>
          <t>Proceso</t>
        </is>
      </c>
      <c r="C96" s="4" t="inlineStr">
        <is>
          <t>Apelaciones de evaluación resueltas en plazo</t>
        </is>
      </c>
      <c r="D96" s="4" t="inlineStr">
        <is>
          <t>Apelaciones resueltas en plazo / apelaciones recibidas × 100</t>
        </is>
      </c>
      <c r="E96" s="4" t="inlineStr">
        <is>
          <t>Registro de apelaciones (PM09)</t>
        </is>
      </c>
      <c r="F96" s="4" t="inlineStr">
        <is>
          <t>Semestral</t>
        </is>
      </c>
      <c r="G96" s="4" t="inlineStr">
        <is>
          <t>%</t>
        </is>
      </c>
      <c r="H96" s="4" t="inlineStr">
        <is>
          <t>Por definir</t>
        </is>
      </c>
      <c r="I96" s="4" t="inlineStr">
        <is>
          <t>Por confirmar si se aprueba la ficha</t>
        </is>
      </c>
      <c r="J96" s="4" t="inlineStr">
        <is>
          <t>PM09</t>
        </is>
      </c>
      <c r="K96" s="4" t="inlineStr"/>
      <c r="L96" s="4" t="inlineStr"/>
    </row>
    <row r="97">
      <c r="A97" s="4" t="inlineStr">
        <is>
          <t>PM10-P5</t>
        </is>
      </c>
      <c r="B97" s="4" t="inlineStr">
        <is>
          <t>Proceso</t>
        </is>
      </c>
      <c r="C97" s="4" t="inlineStr">
        <is>
          <t>Egresados que participan en actividades de vinculación</t>
        </is>
      </c>
      <c r="D97" s="4" t="inlineStr">
        <is>
          <t>Egresados participantes / egresados registrados × 100</t>
        </is>
      </c>
      <c r="E97" s="4" t="inlineStr">
        <is>
          <t>Registro de actividades con egresados (PM10)</t>
        </is>
      </c>
      <c r="F97" s="4" t="inlineStr">
        <is>
          <t>Anual</t>
        </is>
      </c>
      <c r="G97" s="4" t="inlineStr">
        <is>
          <t>%</t>
        </is>
      </c>
      <c r="H97" s="4" t="inlineStr">
        <is>
          <t>Por definir</t>
        </is>
      </c>
      <c r="I97" s="4" t="inlineStr">
        <is>
          <t>Por confirmar si se aprueba la ficha</t>
        </is>
      </c>
      <c r="J97" s="4" t="inlineStr">
        <is>
          <t>PM10</t>
        </is>
      </c>
      <c r="K97" s="4" t="inlineStr"/>
      <c r="L97" s="4" t="inlineStr"/>
    </row>
    <row r="98">
      <c r="A98" s="4" t="inlineStr">
        <is>
          <t>PE01-P6</t>
        </is>
      </c>
      <c r="B98" s="4" t="inlineStr">
        <is>
          <t>Proceso</t>
        </is>
      </c>
      <c r="C98" s="4" t="inlineStr">
        <is>
          <t>AOI de la Facultad con avance físico de 95 % o más</t>
        </is>
      </c>
      <c r="D98" s="4" t="inlineStr">
        <is>
          <t>AOI con avance de 95 % o más / AOI con programación en el periodo × 100</t>
        </is>
      </c>
      <c r="E98" s="4" t="inlineStr">
        <is>
          <t>Reporte de seguimiento del POI del centro de costo 01.30 (aplicativo del CEPLAN)</t>
        </is>
      </c>
      <c r="F98" s="4" t="inlineStr">
        <is>
          <t>Trimestral</t>
        </is>
      </c>
      <c r="G98" s="4" t="inlineStr">
        <is>
          <t>%</t>
        </is>
      </c>
      <c r="H98" s="4" t="inlineStr">
        <is>
          <t>Por definir</t>
        </is>
      </c>
      <c r="I98" s="4" t="inlineStr">
        <is>
          <t>Por confirmar: UPPR y coordinación de calidad</t>
        </is>
      </c>
      <c r="J98" s="4" t="inlineStr">
        <is>
          <t>PE01</t>
        </is>
      </c>
      <c r="K98" s="4" t="inlineStr"/>
      <c r="L98" s="4" t="inlineStr"/>
    </row>
    <row r="99">
      <c r="A99" s="4" t="inlineStr">
        <is>
          <t>PE01-P7</t>
        </is>
      </c>
      <c r="B99" s="4" t="inlineStr">
        <is>
          <t>Proceso</t>
        </is>
      </c>
      <c r="C99" s="4" t="inlineStr">
        <is>
          <t>AOI de la Facultad con ejecución superior a 120 % de lo programado</t>
        </is>
      </c>
      <c r="D99" s="4" t="inlineStr">
        <is>
          <t>AOI con ejecutado / programado mayor de 120 % / AOI con programación en el periodo × 100</t>
        </is>
      </c>
      <c r="E99" s="4" t="inlineStr">
        <is>
          <t>Reporte de seguimiento del POI, avance sin truncar</t>
        </is>
      </c>
      <c r="F99" s="4" t="inlineStr">
        <is>
          <t>Anual</t>
        </is>
      </c>
      <c r="G99" s="4" t="inlineStr">
        <is>
          <t>%</t>
        </is>
      </c>
      <c r="H99" s="4" t="inlineStr">
        <is>
          <t>Por definir</t>
        </is>
      </c>
      <c r="I99" s="4" t="inlineStr">
        <is>
          <t>Por confirmar: UPPR y coordinación de calidad</t>
        </is>
      </c>
      <c r="J99" s="4" t="inlineStr">
        <is>
          <t>PE01</t>
        </is>
      </c>
      <c r="K99" s="4" t="inlineStr"/>
      <c r="L99" s="4" t="inlineStr"/>
    </row>
    <row r="100">
      <c r="A100" s="4" t="inlineStr">
        <is>
          <t>PE01-P8</t>
        </is>
      </c>
      <c r="B100" s="4" t="inlineStr">
        <is>
          <t>Proceso</t>
        </is>
      </c>
      <c r="C100" s="4" t="inlineStr">
        <is>
          <t>AOI vinculadas al SGC con avance físico de 95 % o más</t>
        </is>
      </c>
      <c r="D100" s="4" t="inlineStr">
        <is>
          <t>AOI de nivel directo o relacionado con indicadores del SGC y avance de 95 % o más / AOI vinculadas con programación × 100</t>
        </is>
      </c>
      <c r="E100" s="4" t="inlineStr">
        <is>
          <t>Reporte de seguimiento del POI y hoja POI_AOI de este tablero</t>
        </is>
      </c>
      <c r="F100" s="4" t="inlineStr">
        <is>
          <t>Semestral</t>
        </is>
      </c>
      <c r="G100" s="4" t="inlineStr">
        <is>
          <t>%</t>
        </is>
      </c>
      <c r="H100" s="4" t="inlineStr">
        <is>
          <t>Por definir</t>
        </is>
      </c>
      <c r="I100" s="4" t="inlineStr">
        <is>
          <t>Por confirmar: UPPR y coordinación de calidad</t>
        </is>
      </c>
      <c r="J100" s="4" t="inlineStr">
        <is>
          <t>PE01</t>
        </is>
      </c>
      <c r="K100" s="4" t="inlineStr"/>
      <c r="L100" s="4" t="inlineStr"/>
    </row>
    <row r="101">
      <c r="A101" s="4" t="inlineStr">
        <is>
          <t>PEFM-OE.01</t>
        </is>
      </c>
      <c r="B101" s="4" t="inlineStr">
        <is>
          <t>PE FM</t>
        </is>
      </c>
      <c r="C101" s="4" t="inlineStr">
        <is>
          <t>Estudiantes de los dos últimos años satisfechos con el proceso de formación universitaria (%)</t>
        </is>
      </c>
      <c r="D101" s="4" t="inlineStr">
        <is>
          <t>Según la matriz del PE FM [A11] y la matriz de medición [A18]; método de cálculo en la columna E de [A18]</t>
        </is>
      </c>
      <c r="E101" s="4" t="inlineStr">
        <is>
          <t>Matriz de medición del PE FM [A18], hoja 'PE MEDICION 2024 - 2025-I', fila 7</t>
        </is>
      </c>
      <c r="F101" s="4" t="inlineStr">
        <is>
          <t>Anual</t>
        </is>
      </c>
      <c r="G101" s="4" t="inlineStr">
        <is>
          <t>%</t>
        </is>
      </c>
      <c r="H101" s="4" t="inlineStr">
        <is>
          <t>Mayor es mejor</t>
        </is>
      </c>
      <c r="I101" s="4" t="inlineStr">
        <is>
          <t>Escuelas Profesionales</t>
        </is>
      </c>
      <c r="J101" s="4" t="inlineStr">
        <is>
          <t>PE FM</t>
        </is>
      </c>
      <c r="K101" s="4" t="inlineStr"/>
      <c r="L101" s="4" t="inlineStr"/>
    </row>
    <row r="102">
      <c r="A102" s="4" t="inlineStr">
        <is>
          <t>PEFM-AE.01.01</t>
        </is>
      </c>
      <c r="B102" s="4" t="inlineStr">
        <is>
          <t>PE FM</t>
        </is>
      </c>
      <c r="C102" s="4" t="inlineStr">
        <is>
          <t>Docentes que se actualizan continuamente (número)</t>
        </is>
      </c>
      <c r="D102" s="4" t="inlineStr">
        <is>
          <t>Según la matriz del PE FM [A11] y la matriz de medición [A18]; método de cálculo en la columna E de [A18]</t>
        </is>
      </c>
      <c r="E102" s="4" t="inlineStr">
        <is>
          <t>Matriz de medición del PE FM [A18], hoja 'PE MEDICION 2024 - 2025-I', fila 10</t>
        </is>
      </c>
      <c r="F102" s="4" t="inlineStr">
        <is>
          <t>Anual</t>
        </is>
      </c>
      <c r="G102" s="4" t="inlineStr">
        <is>
          <t>número</t>
        </is>
      </c>
      <c r="H102" s="4" t="inlineStr">
        <is>
          <t>Mayor es mejor</t>
        </is>
      </c>
      <c r="I102" s="4" t="inlineStr">
        <is>
          <t>Departamentos Académicos</t>
        </is>
      </c>
      <c r="J102" s="4" t="inlineStr">
        <is>
          <t>PE FM</t>
        </is>
      </c>
      <c r="K102" s="4" t="inlineStr"/>
      <c r="L102" s="4" t="inlineStr"/>
    </row>
    <row r="103">
      <c r="A103" s="4" t="inlineStr">
        <is>
          <t>PEFM-AE.01.02</t>
        </is>
      </c>
      <c r="B103" s="4" t="inlineStr">
        <is>
          <t>PE FM</t>
        </is>
      </c>
      <c r="C103" s="4" t="inlineStr">
        <is>
          <t>Planes curriculares actualizados (%)</t>
        </is>
      </c>
      <c r="D103" s="4" t="inlineStr">
        <is>
          <t>Según la matriz del PE FM [A11] y la matriz de medición [A18]; método de cálculo en la columna E de [A18]</t>
        </is>
      </c>
      <c r="E103" s="4" t="inlineStr">
        <is>
          <t>Matriz de medición del PE FM [A18], hoja 'PE MEDICION 2024 - 2025-I', fila 11</t>
        </is>
      </c>
      <c r="F103" s="4" t="inlineStr">
        <is>
          <t>Anual</t>
        </is>
      </c>
      <c r="G103" s="4" t="inlineStr">
        <is>
          <t>%</t>
        </is>
      </c>
      <c r="H103" s="4" t="inlineStr">
        <is>
          <t>Mayor es mejor</t>
        </is>
      </c>
      <c r="I103" s="4" t="inlineStr">
        <is>
          <t>Escuelas Profesionales</t>
        </is>
      </c>
      <c r="J103" s="4" t="inlineStr">
        <is>
          <t>PE FM</t>
        </is>
      </c>
      <c r="K103" s="4" t="inlineStr"/>
      <c r="L103" s="4" t="inlineStr"/>
    </row>
    <row r="104">
      <c r="A104" s="4" t="inlineStr">
        <is>
          <t>PEFM-AE.01.03-1</t>
        </is>
      </c>
      <c r="B104" s="4" t="inlineStr">
        <is>
          <t>PE FM</t>
        </is>
      </c>
      <c r="C104" s="4" t="inlineStr">
        <is>
          <t>Estudiantes de los dos últimos años satisfechos con los servicios complementarios (%)</t>
        </is>
      </c>
      <c r="D104" s="4" t="inlineStr">
        <is>
          <t>Según la matriz del PE FM [A11] y la matriz de medición [A18]; método de cálculo en la columna E de [A18]</t>
        </is>
      </c>
      <c r="E104" s="4" t="inlineStr">
        <is>
          <t>Matriz de medición del PE FM [A18], hoja 'PE MEDICION 2024 - 2025-I', fila 12</t>
        </is>
      </c>
      <c r="F104" s="4" t="inlineStr">
        <is>
          <t>Anual</t>
        </is>
      </c>
      <c r="G104" s="4" t="inlineStr">
        <is>
          <t>%</t>
        </is>
      </c>
      <c r="H104" s="4" t="inlineStr">
        <is>
          <t>Mayor es mejor</t>
        </is>
      </c>
      <c r="I104" s="4" t="inlineStr">
        <is>
          <t>Centro de Responsabilidad Social y Extensión Universitaria</t>
        </is>
      </c>
      <c r="J104" s="4" t="inlineStr">
        <is>
          <t>PE FM</t>
        </is>
      </c>
      <c r="K104" s="4" t="inlineStr"/>
      <c r="L104" s="4" t="inlineStr"/>
    </row>
    <row r="105">
      <c r="A105" s="4" t="inlineStr">
        <is>
          <t>PEFM-AE.01.03-2</t>
        </is>
      </c>
      <c r="B105" s="4" t="inlineStr">
        <is>
          <t>PE FM</t>
        </is>
      </c>
      <c r="C105" s="4" t="inlineStr">
        <is>
          <t>Estudiantes que usan el servicio de tutorías (número)</t>
        </is>
      </c>
      <c r="D105" s="4" t="inlineStr">
        <is>
          <t>Según la matriz del PE FM [A11] y la matriz de medición [A18]; método de cálculo en la columna E de [A18]</t>
        </is>
      </c>
      <c r="E105" s="4" t="inlineStr">
        <is>
          <t>Matriz de medición del PE FM [A18], hoja 'PE MEDICION 2024 - 2025-I', fila 13</t>
        </is>
      </c>
      <c r="F105" s="4" t="inlineStr">
        <is>
          <t>Anual</t>
        </is>
      </c>
      <c r="G105" s="4" t="inlineStr">
        <is>
          <t>número</t>
        </is>
      </c>
      <c r="H105" s="4" t="inlineStr">
        <is>
          <t>Por definir</t>
        </is>
      </c>
      <c r="I105" s="4" t="inlineStr">
        <is>
          <t>Escuelas Profesionales</t>
        </is>
      </c>
      <c r="J105" s="4" t="inlineStr">
        <is>
          <t>PE FM</t>
        </is>
      </c>
      <c r="K105" s="4" t="inlineStr"/>
      <c r="L105" s="4" t="inlineStr"/>
    </row>
    <row r="106">
      <c r="A106" s="4" t="inlineStr">
        <is>
          <t>PEFM-AE.01.04-1</t>
        </is>
      </c>
      <c r="B106" s="4" t="inlineStr">
        <is>
          <t>PE FM</t>
        </is>
      </c>
      <c r="C106" s="4" t="inlineStr">
        <is>
          <t>Carreras profesionales con acreditación nacional e internacional (%)</t>
        </is>
      </c>
      <c r="D106" s="4" t="inlineStr">
        <is>
          <t>Según la matriz del PE FM [A11] y la matriz de medición [A18]; método de cálculo en la columna E de [A18]</t>
        </is>
      </c>
      <c r="E106" s="4" t="inlineStr">
        <is>
          <t>Matriz de medición del PE FM [A18], hoja 'PE MEDICION 2024 - 2025-I', fila 14</t>
        </is>
      </c>
      <c r="F106" s="4" t="inlineStr">
        <is>
          <t>Anual</t>
        </is>
      </c>
      <c r="G106" s="4" t="inlineStr">
        <is>
          <t>%</t>
        </is>
      </c>
      <c r="H106" s="4" t="inlineStr">
        <is>
          <t>Mayor es mejor</t>
        </is>
      </c>
      <c r="I106" s="4" t="inlineStr">
        <is>
          <t>Oficina de Calidad Académica y Acreditación</t>
        </is>
      </c>
      <c r="J106" s="4" t="inlineStr">
        <is>
          <t>PE FM</t>
        </is>
      </c>
      <c r="K106" s="4" t="inlineStr"/>
      <c r="L106" s="4" t="inlineStr"/>
    </row>
    <row r="107">
      <c r="A107" s="4" t="inlineStr">
        <is>
          <t>PEFM-AE.01.04-2</t>
        </is>
      </c>
      <c r="B107" s="4" t="inlineStr">
        <is>
          <t>PE FM</t>
        </is>
      </c>
      <c r="C107" s="4" t="inlineStr">
        <is>
          <t>Programas de posgrado con acreditación (%)</t>
        </is>
      </c>
      <c r="D107" s="4" t="inlineStr">
        <is>
          <t>Según la matriz del PE FM [A11] y la matriz de medición [A18]; método de cálculo en la columna E de [A18]</t>
        </is>
      </c>
      <c r="E107" s="4" t="inlineStr">
        <is>
          <t>Matriz de medición del PE FM [A18], hoja 'PE MEDICION 2024 - 2025-I', fila 15</t>
        </is>
      </c>
      <c r="F107" s="4" t="inlineStr">
        <is>
          <t>Anual</t>
        </is>
      </c>
      <c r="G107" s="4" t="inlineStr">
        <is>
          <t>%</t>
        </is>
      </c>
      <c r="H107" s="4" t="inlineStr">
        <is>
          <t>Mayor es mejor</t>
        </is>
      </c>
      <c r="I107" s="4" t="inlineStr">
        <is>
          <t>Oficina de Calidad Académica y Acreditación</t>
        </is>
      </c>
      <c r="J107" s="4" t="inlineStr">
        <is>
          <t>PE FM</t>
        </is>
      </c>
      <c r="K107" s="4" t="inlineStr"/>
      <c r="L107" s="4" t="inlineStr"/>
    </row>
    <row r="108">
      <c r="A108" s="4" t="inlineStr">
        <is>
          <t>PEFM-AE.01.05-1</t>
        </is>
      </c>
      <c r="B108" s="4" t="inlineStr">
        <is>
          <t>PE FM</t>
        </is>
      </c>
      <c r="C108" s="4" t="inlineStr">
        <is>
          <t>Carreras profesionales con planes de mejora integrados en los documentos de gestión (%)</t>
        </is>
      </c>
      <c r="D108" s="4" t="inlineStr">
        <is>
          <t>Según la matriz del PE FM [A11] y la matriz de medición [A18]; método de cálculo en la columna E de [A18]</t>
        </is>
      </c>
      <c r="E108" s="4" t="inlineStr">
        <is>
          <t>Matriz de medición del PE FM [A18], hoja 'PE MEDICION 2024 - 2025-I', fila 16</t>
        </is>
      </c>
      <c r="F108" s="4" t="inlineStr">
        <is>
          <t>Anual</t>
        </is>
      </c>
      <c r="G108" s="4" t="inlineStr">
        <is>
          <t>%</t>
        </is>
      </c>
      <c r="H108" s="4" t="inlineStr">
        <is>
          <t>Mayor es mejor</t>
        </is>
      </c>
      <c r="I108" s="4" t="inlineStr">
        <is>
          <t>Escuelas Profesionales</t>
        </is>
      </c>
      <c r="J108" s="4" t="inlineStr">
        <is>
          <t>PE FM</t>
        </is>
      </c>
      <c r="K108" s="4" t="inlineStr"/>
      <c r="L108" s="4" t="inlineStr"/>
    </row>
    <row r="109">
      <c r="A109" s="4" t="inlineStr">
        <is>
          <t>PEFM-AE.01.05-2</t>
        </is>
      </c>
      <c r="B109" s="4" t="inlineStr">
        <is>
          <t>PE FM</t>
        </is>
      </c>
      <c r="C109" s="4" t="inlineStr">
        <is>
          <t>Programas de posgrado con planes de mejora integrados en los documentos de gestión (%)</t>
        </is>
      </c>
      <c r="D109" s="4" t="inlineStr">
        <is>
          <t>Según la matriz del PE FM [A11] y la matriz de medición [A18]; método de cálculo en la columna E de [A18]</t>
        </is>
      </c>
      <c r="E109" s="4" t="inlineStr">
        <is>
          <t>Matriz de medición del PE FM [A18], hoja 'PE MEDICION 2024 - 2025-I', fila 17</t>
        </is>
      </c>
      <c r="F109" s="4" t="inlineStr">
        <is>
          <t>Anual</t>
        </is>
      </c>
      <c r="G109" s="4" t="inlineStr">
        <is>
          <t>%</t>
        </is>
      </c>
      <c r="H109" s="4" t="inlineStr">
        <is>
          <t>Mayor es mejor</t>
        </is>
      </c>
      <c r="I109" s="4" t="inlineStr">
        <is>
          <t>Vicedecanato de Investigación y Posgrado</t>
        </is>
      </c>
      <c r="J109" s="4" t="inlineStr">
        <is>
          <t>PE FM</t>
        </is>
      </c>
      <c r="K109" s="4" t="inlineStr"/>
      <c r="L109" s="4" t="inlineStr"/>
    </row>
    <row r="110">
      <c r="A110" s="4" t="inlineStr">
        <is>
          <t>PEFM-AE.01.06-1</t>
        </is>
      </c>
      <c r="B110" s="4" t="inlineStr">
        <is>
          <t>PE FM</t>
        </is>
      </c>
      <c r="C110" s="4" t="inlineStr">
        <is>
          <t>Docentes en movilidad saliente por cada 100 docentes (tasa)</t>
        </is>
      </c>
      <c r="D110" s="4" t="inlineStr">
        <is>
          <t>Según la matriz del PE FM [A11] y la matriz de medición [A18]; método de cálculo en la columna E de [A18]</t>
        </is>
      </c>
      <c r="E110" s="4" t="inlineStr">
        <is>
          <t>Matriz de medición del PE FM [A18], hoja 'PE MEDICION 2024 - 2025-I', fila 18</t>
        </is>
      </c>
      <c r="F110" s="4" t="inlineStr">
        <is>
          <t>Anual</t>
        </is>
      </c>
      <c r="G110" s="4" t="inlineStr">
        <is>
          <t>número</t>
        </is>
      </c>
      <c r="H110" s="4" t="inlineStr">
        <is>
          <t>Mayor es mejor</t>
        </is>
      </c>
      <c r="I110" s="4" t="inlineStr">
        <is>
          <t>Unidad de Gestión de Proyectos</t>
        </is>
      </c>
      <c r="J110" s="4" t="inlineStr">
        <is>
          <t>PE FM</t>
        </is>
      </c>
      <c r="K110" s="4" t="inlineStr"/>
      <c r="L110" s="4" t="inlineStr"/>
    </row>
    <row r="111">
      <c r="A111" s="4" t="inlineStr">
        <is>
          <t>PEFM-AE.01.06-2</t>
        </is>
      </c>
      <c r="B111" s="4" t="inlineStr">
        <is>
          <t>PE FM</t>
        </is>
      </c>
      <c r="C111" s="4" t="inlineStr">
        <is>
          <t>Estudiantes en movilidad saliente por cada 1000 estudiantes (tasa)</t>
        </is>
      </c>
      <c r="D111" s="4" t="inlineStr">
        <is>
          <t>Según la matriz del PE FM [A11] y la matriz de medición [A18]; método de cálculo en la columna E de [A18]</t>
        </is>
      </c>
      <c r="E111" s="4" t="inlineStr">
        <is>
          <t>Matriz de medición del PE FM [A18], hoja 'PE MEDICION 2024 - 2025-I', fila 19</t>
        </is>
      </c>
      <c r="F111" s="4" t="inlineStr">
        <is>
          <t>Anual</t>
        </is>
      </c>
      <c r="G111" s="4" t="inlineStr">
        <is>
          <t>número</t>
        </is>
      </c>
      <c r="H111" s="4" t="inlineStr">
        <is>
          <t>Mayor es mejor</t>
        </is>
      </c>
      <c r="I111" s="4" t="inlineStr">
        <is>
          <t>Unidad de Gestión de Proyectos</t>
        </is>
      </c>
      <c r="J111" s="4" t="inlineStr">
        <is>
          <t>PE FM</t>
        </is>
      </c>
      <c r="K111" s="4" t="inlineStr"/>
      <c r="L111" s="4" t="inlineStr"/>
    </row>
    <row r="112">
      <c r="A112" s="4" t="inlineStr">
        <is>
          <t>PEFM-OE.02</t>
        </is>
      </c>
      <c r="B112" s="4" t="inlineStr">
        <is>
          <t>PE FM</t>
        </is>
      </c>
      <c r="C112" s="4" t="inlineStr">
        <is>
          <t>Publicaciones de investigación en revistas indexadas (%)</t>
        </is>
      </c>
      <c r="D112" s="4" t="inlineStr">
        <is>
          <t>Según la matriz del PE FM [A11] y la matriz de medición [A18]; método de cálculo en la columna E de [A18]</t>
        </is>
      </c>
      <c r="E112" s="4" t="inlineStr">
        <is>
          <t>Matriz de medición del PE FM [A18], hoja 'PE MEDICION 2024 - 2025-I', fila 22</t>
        </is>
      </c>
      <c r="F112" s="4" t="inlineStr">
        <is>
          <t>Anual</t>
        </is>
      </c>
      <c r="G112" s="4" t="inlineStr">
        <is>
          <t>%</t>
        </is>
      </c>
      <c r="H112" s="4" t="inlineStr">
        <is>
          <t>Mayor es mejor</t>
        </is>
      </c>
      <c r="I112" s="4" t="inlineStr">
        <is>
          <t>Unidad de Investigación</t>
        </is>
      </c>
      <c r="J112" s="4" t="inlineStr">
        <is>
          <t>PE FM</t>
        </is>
      </c>
      <c r="K112" s="4" t="inlineStr"/>
      <c r="L112" s="4" t="inlineStr"/>
    </row>
    <row r="113">
      <c r="A113" s="4" t="inlineStr">
        <is>
          <t>PEFM-AE.02.01</t>
        </is>
      </c>
      <c r="B113" s="4" t="inlineStr">
        <is>
          <t>PE FM</t>
        </is>
      </c>
      <c r="C113" s="4" t="inlineStr">
        <is>
          <t>Publicaciones en fuentes indexadas (número)</t>
        </is>
      </c>
      <c r="D113" s="4" t="inlineStr">
        <is>
          <t>Según la matriz del PE FM [A11] y la matriz de medición [A18]; método de cálculo en la columna E de [A18]</t>
        </is>
      </c>
      <c r="E113" s="4" t="inlineStr">
        <is>
          <t>Matriz de medición del PE FM [A18], hoja 'PE MEDICION 2024 - 2025-I', fila 25</t>
        </is>
      </c>
      <c r="F113" s="4" t="inlineStr">
        <is>
          <t>Anual</t>
        </is>
      </c>
      <c r="G113" s="4" t="inlineStr">
        <is>
          <t>número</t>
        </is>
      </c>
      <c r="H113" s="4" t="inlineStr">
        <is>
          <t>Mayor es mejor</t>
        </is>
      </c>
      <c r="I113" s="4" t="inlineStr">
        <is>
          <t>Unidad de Investigación</t>
        </is>
      </c>
      <c r="J113" s="4" t="inlineStr">
        <is>
          <t>PE FM</t>
        </is>
      </c>
      <c r="K113" s="4" t="inlineStr"/>
      <c r="L113" s="4" t="inlineStr"/>
    </row>
    <row r="114">
      <c r="A114" s="4" t="inlineStr">
        <is>
          <t>PEFM-AE.02.02</t>
        </is>
      </c>
      <c r="B114" s="4" t="inlineStr">
        <is>
          <t>PE FM</t>
        </is>
      </c>
      <c r="C114" s="4" t="inlineStr">
        <is>
          <t>Grupos de investigación capacitados (número)</t>
        </is>
      </c>
      <c r="D114" s="4" t="inlineStr">
        <is>
          <t>Según la matriz del PE FM [A11] y la matriz de medición [A18]; método de cálculo en la columna E de [A18]</t>
        </is>
      </c>
      <c r="E114" s="4" t="inlineStr">
        <is>
          <t>Matriz de medición del PE FM [A18], hoja 'PE MEDICION 2024 - 2025-I', fila 26</t>
        </is>
      </c>
      <c r="F114" s="4" t="inlineStr">
        <is>
          <t>Anual</t>
        </is>
      </c>
      <c r="G114" s="4" t="inlineStr">
        <is>
          <t>número</t>
        </is>
      </c>
      <c r="H114" s="4" t="inlineStr">
        <is>
          <t>Mayor es mejor</t>
        </is>
      </c>
      <c r="I114" s="4" t="inlineStr">
        <is>
          <t>Unidad de Investigación</t>
        </is>
      </c>
      <c r="J114" s="4" t="inlineStr">
        <is>
          <t>PE FM</t>
        </is>
      </c>
      <c r="K114" s="4" t="inlineStr"/>
      <c r="L114" s="4" t="inlineStr"/>
    </row>
    <row r="115">
      <c r="A115" s="4" t="inlineStr">
        <is>
          <t>PEFM-AE.02.03-1</t>
        </is>
      </c>
      <c r="B115" s="4" t="inlineStr">
        <is>
          <t>PE FM</t>
        </is>
      </c>
      <c r="C115" s="4" t="inlineStr">
        <is>
          <t>Docentes asesores de trabajos de investigación o tesis por cada 100 docentes (tasa)</t>
        </is>
      </c>
      <c r="D115" s="4" t="inlineStr">
        <is>
          <t>Según la matriz del PE FM [A11] y la matriz de medición [A18]; método de cálculo en la columna E de [A18]</t>
        </is>
      </c>
      <c r="E115" s="4" t="inlineStr">
        <is>
          <t>Matriz de medición del PE FM [A18], hoja 'PE MEDICION 2024 - 2025-I', fila 27</t>
        </is>
      </c>
      <c r="F115" s="4" t="inlineStr">
        <is>
          <t>Anual</t>
        </is>
      </c>
      <c r="G115" s="4" t="inlineStr">
        <is>
          <t>número</t>
        </is>
      </c>
      <c r="H115" s="4" t="inlineStr">
        <is>
          <t>Mayor es mejor</t>
        </is>
      </c>
      <c r="I115" s="4" t="inlineStr">
        <is>
          <t>Vicedecanato de Investigación y Posgrado</t>
        </is>
      </c>
      <c r="J115" s="4" t="inlineStr">
        <is>
          <t>PE FM</t>
        </is>
      </c>
      <c r="K115" s="4" t="inlineStr"/>
      <c r="L115" s="4" t="inlineStr"/>
    </row>
    <row r="116">
      <c r="A116" s="4" t="inlineStr">
        <is>
          <t>PEFM-AE.02.03-2</t>
        </is>
      </c>
      <c r="B116" s="4" t="inlineStr">
        <is>
          <t>PE FM</t>
        </is>
      </c>
      <c r="C116" s="4" t="inlineStr">
        <is>
          <t>Estudiantes en proyectos de investigación por cada 1000 estudiantes (tasa)</t>
        </is>
      </c>
      <c r="D116" s="4" t="inlineStr">
        <is>
          <t>Según la matriz del PE FM [A11] y la matriz de medición [A18]; método de cálculo en la columna E de [A18]</t>
        </is>
      </c>
      <c r="E116" s="4" t="inlineStr">
        <is>
          <t>Matriz de medición del PE FM [A18], hoja 'PE MEDICION 2024 - 2025-I', fila 28</t>
        </is>
      </c>
      <c r="F116" s="4" t="inlineStr">
        <is>
          <t>Anual</t>
        </is>
      </c>
      <c r="G116" s="4" t="inlineStr">
        <is>
          <t>número</t>
        </is>
      </c>
      <c r="H116" s="4" t="inlineStr">
        <is>
          <t>Mayor es mejor</t>
        </is>
      </c>
      <c r="I116" s="4" t="inlineStr">
        <is>
          <t>Unidad de Investigación</t>
        </is>
      </c>
      <c r="J116" s="4" t="inlineStr">
        <is>
          <t>PE FM</t>
        </is>
      </c>
      <c r="K116" s="4" t="inlineStr"/>
      <c r="L116" s="4" t="inlineStr"/>
    </row>
    <row r="117">
      <c r="A117" s="4" t="inlineStr">
        <is>
          <t>PEFM-OE.03-1</t>
        </is>
      </c>
      <c r="B117" s="4" t="inlineStr">
        <is>
          <t>PE FM</t>
        </is>
      </c>
      <c r="C117" s="4" t="inlineStr">
        <is>
          <t>Participantes de los programas de extensión (número)</t>
        </is>
      </c>
      <c r="D117" s="4" t="inlineStr">
        <is>
          <t>Según la matriz del PE FM [A11] y la matriz de medición [A18]; método de cálculo en la columna E de [A18]</t>
        </is>
      </c>
      <c r="E117" s="4" t="inlineStr">
        <is>
          <t>Matriz de medición del PE FM [A18], hoja 'PE MEDICION 2024 - 2025-I', fila 31</t>
        </is>
      </c>
      <c r="F117" s="4" t="inlineStr">
        <is>
          <t>Anual</t>
        </is>
      </c>
      <c r="G117" s="4" t="inlineStr">
        <is>
          <t>número</t>
        </is>
      </c>
      <c r="H117" s="4" t="inlineStr">
        <is>
          <t>Mayor es mejor</t>
        </is>
      </c>
      <c r="I117" s="4" t="inlineStr">
        <is>
          <t>Centro de  Responsabilidad Social y Extensión Universitaria.</t>
        </is>
      </c>
      <c r="J117" s="4" t="inlineStr">
        <is>
          <t>PE FM</t>
        </is>
      </c>
      <c r="K117" s="4" t="inlineStr"/>
      <c r="L117" s="4" t="inlineStr"/>
    </row>
    <row r="118">
      <c r="A118" s="4" t="inlineStr">
        <is>
          <t>PEFM-OE.03-2</t>
        </is>
      </c>
      <c r="B118" s="4" t="inlineStr">
        <is>
          <t>PE FM</t>
        </is>
      </c>
      <c r="C118" s="4" t="inlineStr">
        <is>
          <t>Beneficiarios de programas de proyección social (número)</t>
        </is>
      </c>
      <c r="D118" s="4" t="inlineStr">
        <is>
          <t>Según la matriz del PE FM [A11] y la matriz de medición [A18]; método de cálculo en la columna E de [A18]</t>
        </is>
      </c>
      <c r="E118" s="4" t="inlineStr">
        <is>
          <t>Matriz de medición del PE FM [A18], hoja 'PE MEDICION 2024 - 2025-I', fila 32</t>
        </is>
      </c>
      <c r="F118" s="4" t="inlineStr">
        <is>
          <t>Anual</t>
        </is>
      </c>
      <c r="G118" s="4" t="inlineStr">
        <is>
          <t>número</t>
        </is>
      </c>
      <c r="H118" s="4" t="inlineStr">
        <is>
          <t>Mayor es mejor</t>
        </is>
      </c>
      <c r="I118" s="4" t="inlineStr">
        <is>
          <t>Centro de  Responsabilidad Social y Extensión Universitaria.</t>
        </is>
      </c>
      <c r="J118" s="4" t="inlineStr">
        <is>
          <t>PE FM</t>
        </is>
      </c>
      <c r="K118" s="4" t="inlineStr"/>
      <c r="L118" s="4" t="inlineStr"/>
    </row>
    <row r="119">
      <c r="A119" s="4" t="inlineStr">
        <is>
          <t>PEFM-AE.03.01-1</t>
        </is>
      </c>
      <c r="B119" s="4" t="inlineStr">
        <is>
          <t>PE FM</t>
        </is>
      </c>
      <c r="C119" s="4" t="inlineStr">
        <is>
          <t>Programas de servicio universitario sostenible ejecutados (número)</t>
        </is>
      </c>
      <c r="D119" s="4" t="inlineStr">
        <is>
          <t>Según la matriz del PE FM [A11] y la matriz de medición [A18]; método de cálculo en la columna E de [A18]</t>
        </is>
      </c>
      <c r="E119" s="4" t="inlineStr">
        <is>
          <t>Matriz de medición del PE FM [A18], hoja 'PE MEDICION 2024 - 2025-I', fila 35</t>
        </is>
      </c>
      <c r="F119" s="4" t="inlineStr">
        <is>
          <t>Anual</t>
        </is>
      </c>
      <c r="G119" s="4" t="inlineStr">
        <is>
          <t>número</t>
        </is>
      </c>
      <c r="H119" s="4" t="inlineStr">
        <is>
          <t>Mayor es mejor</t>
        </is>
      </c>
      <c r="I119" s="4" t="inlineStr">
        <is>
          <t>Centro de Responsabilidad Social y Extensión Universitaria.</t>
        </is>
      </c>
      <c r="J119" s="4" t="inlineStr">
        <is>
          <t>PE FM</t>
        </is>
      </c>
      <c r="K119" s="4" t="inlineStr"/>
      <c r="L119" s="4" t="inlineStr"/>
    </row>
    <row r="120">
      <c r="A120" s="4" t="inlineStr">
        <is>
          <t>PEFM-AE.03.01-2</t>
        </is>
      </c>
      <c r="B120" s="4" t="inlineStr">
        <is>
          <t>PE FM</t>
        </is>
      </c>
      <c r="C120" s="4" t="inlineStr">
        <is>
          <t>Miembros de la comunidad académica que participan en servicio universitario sostenible (%)</t>
        </is>
      </c>
      <c r="D120" s="4" t="inlineStr">
        <is>
          <t>Según la matriz del PE FM [A11] y la matriz de medición [A18]; método de cálculo en la columna E de [A18]</t>
        </is>
      </c>
      <c r="E120" s="4" t="inlineStr">
        <is>
          <t>Matriz de medición del PE FM [A18], hoja 'PE MEDICION 2024 - 2025-I', fila 36</t>
        </is>
      </c>
      <c r="F120" s="4" t="inlineStr">
        <is>
          <t>Anual</t>
        </is>
      </c>
      <c r="G120" s="4" t="inlineStr">
        <is>
          <t>%</t>
        </is>
      </c>
      <c r="H120" s="4" t="inlineStr">
        <is>
          <t>Mayor es mejor</t>
        </is>
      </c>
      <c r="I120" s="4" t="inlineStr">
        <is>
          <t>Centro de Responsabilidad Social y Extensión Universitaria</t>
        </is>
      </c>
      <c r="J120" s="4" t="inlineStr">
        <is>
          <t>PE FM</t>
        </is>
      </c>
      <c r="K120" s="4" t="inlineStr"/>
      <c r="L120" s="4" t="inlineStr"/>
    </row>
    <row r="121">
      <c r="A121" s="4" t="inlineStr">
        <is>
          <t>PEFM-AE.03.02-1</t>
        </is>
      </c>
      <c r="B121" s="4" t="inlineStr">
        <is>
          <t>PE FM</t>
        </is>
      </c>
      <c r="C121" s="4" t="inlineStr">
        <is>
          <t>Participantes satisfechos de los programas de extensión (%)</t>
        </is>
      </c>
      <c r="D121" s="4" t="inlineStr">
        <is>
          <t>Según la matriz del PE FM [A11] y la matriz de medición [A18]; método de cálculo en la columna E de [A18]</t>
        </is>
      </c>
      <c r="E121" s="4" t="inlineStr">
        <is>
          <t>Matriz de medición del PE FM [A18], hoja 'PE MEDICION 2024 - 2025-I', fila 37</t>
        </is>
      </c>
      <c r="F121" s="4" t="inlineStr">
        <is>
          <t>Anual</t>
        </is>
      </c>
      <c r="G121" s="4" t="inlineStr">
        <is>
          <t>%</t>
        </is>
      </c>
      <c r="H121" s="4" t="inlineStr">
        <is>
          <t>Mayor es mejor</t>
        </is>
      </c>
      <c r="I121" s="4" t="inlineStr">
        <is>
          <t>Centro de Responsabilidad Social y Extensión Universitaria</t>
        </is>
      </c>
      <c r="J121" s="4" t="inlineStr">
        <is>
          <t>PE FM</t>
        </is>
      </c>
      <c r="K121" s="4" t="inlineStr"/>
      <c r="L121" s="4" t="inlineStr"/>
    </row>
    <row r="122">
      <c r="A122" s="4" t="inlineStr">
        <is>
          <t>PEFM-AE.03.02-2</t>
        </is>
      </c>
      <c r="B122" s="4" t="inlineStr">
        <is>
          <t>PE FM</t>
        </is>
      </c>
      <c r="C122" s="4" t="inlineStr">
        <is>
          <t>Programas de extensión desarrollados (número)</t>
        </is>
      </c>
      <c r="D122" s="4" t="inlineStr">
        <is>
          <t>Según la matriz del PE FM [A11] y la matriz de medición [A18]; método de cálculo en la columna E de [A18]</t>
        </is>
      </c>
      <c r="E122" s="4" t="inlineStr">
        <is>
          <t>Matriz de medición del PE FM [A18], hoja 'PE MEDICION 2024 - 2025-I', fila 38</t>
        </is>
      </c>
      <c r="F122" s="4" t="inlineStr">
        <is>
          <t>Anual</t>
        </is>
      </c>
      <c r="G122" s="4" t="inlineStr">
        <is>
          <t>número</t>
        </is>
      </c>
      <c r="H122" s="4" t="inlineStr">
        <is>
          <t>Mayor es mejor</t>
        </is>
      </c>
      <c r="I122" s="4" t="inlineStr">
        <is>
          <t>Centro de Responsabilidad Social y Extensión Universitaria</t>
        </is>
      </c>
      <c r="J122" s="4" t="inlineStr">
        <is>
          <t>PE FM</t>
        </is>
      </c>
      <c r="K122" s="4" t="inlineStr"/>
      <c r="L122" s="4" t="inlineStr"/>
    </row>
    <row r="123">
      <c r="A123" s="4" t="inlineStr">
        <is>
          <t>PEFM-AE.03.03-1</t>
        </is>
      </c>
      <c r="B123" s="4" t="inlineStr">
        <is>
          <t>PE FM</t>
        </is>
      </c>
      <c r="C123" s="4" t="inlineStr">
        <is>
          <t>Programas de responsabilidad social con metodología aprendizaje-servicio solidario (número)</t>
        </is>
      </c>
      <c r="D123" s="4" t="inlineStr">
        <is>
          <t>Según la matriz del PE FM [A11] y la matriz de medición [A18]; método de cálculo en la columna E de [A18]</t>
        </is>
      </c>
      <c r="E123" s="4" t="inlineStr">
        <is>
          <t>Matriz de medición del PE FM [A18], hoja 'PE MEDICION 2024 - 2025-I', fila 39</t>
        </is>
      </c>
      <c r="F123" s="4" t="inlineStr">
        <is>
          <t>Anual</t>
        </is>
      </c>
      <c r="G123" s="4" t="inlineStr">
        <is>
          <t>número</t>
        </is>
      </c>
      <c r="H123" s="4" t="inlineStr">
        <is>
          <t>Mayor es mejor</t>
        </is>
      </c>
      <c r="I123" s="4" t="inlineStr">
        <is>
          <t>Centro de Responsabilidad Social y Extensión Universitaria</t>
        </is>
      </c>
      <c r="J123" s="4" t="inlineStr">
        <is>
          <t>PE FM</t>
        </is>
      </c>
      <c r="K123" s="4" t="inlineStr"/>
      <c r="L123" s="4" t="inlineStr"/>
    </row>
    <row r="124">
      <c r="A124" s="4" t="inlineStr">
        <is>
          <t>PEFM-AE.03.03-2</t>
        </is>
      </c>
      <c r="B124" s="4" t="inlineStr">
        <is>
          <t>PE FM</t>
        </is>
      </c>
      <c r="C124" s="4" t="inlineStr">
        <is>
          <t>Proyectos de responsabilidad social con metodología aprendizaje-servicio solidario (número)</t>
        </is>
      </c>
      <c r="D124" s="4" t="inlineStr">
        <is>
          <t>Según la matriz del PE FM [A11] y la matriz de medición [A18]; método de cálculo en la columna E de [A18]</t>
        </is>
      </c>
      <c r="E124" s="4" t="inlineStr">
        <is>
          <t>Matriz de medición del PE FM [A18], hoja 'PE MEDICION 2024 - 2025-I', fila 40</t>
        </is>
      </c>
      <c r="F124" s="4" t="inlineStr">
        <is>
          <t>Anual</t>
        </is>
      </c>
      <c r="G124" s="4" t="inlineStr">
        <is>
          <t>número</t>
        </is>
      </c>
      <c r="H124" s="4" t="inlineStr">
        <is>
          <t>Mayor es mejor</t>
        </is>
      </c>
      <c r="I124" s="4" t="inlineStr">
        <is>
          <t>Centro de Responsabilidad Social y Extensión Universitaria</t>
        </is>
      </c>
      <c r="J124" s="4" t="inlineStr">
        <is>
          <t>PE FM</t>
        </is>
      </c>
      <c r="K124" s="4" t="inlineStr"/>
      <c r="L124" s="4" t="inlineStr"/>
    </row>
    <row r="125">
      <c r="A125" s="4" t="inlineStr">
        <is>
          <t>PEFM-AE.03.04</t>
        </is>
      </c>
      <c r="B125" s="4" t="inlineStr">
        <is>
          <t>PE FM</t>
        </is>
      </c>
      <c r="C125" s="4" t="inlineStr">
        <is>
          <t>Acciones de sostenibilidad ambiental ejecutadas (número)</t>
        </is>
      </c>
      <c r="D125" s="4" t="inlineStr">
        <is>
          <t>Según la matriz del PE FM [A11] y la matriz de medición [A18]; método de cálculo en la columna E de [A18]</t>
        </is>
      </c>
      <c r="E125" s="4" t="inlineStr">
        <is>
          <t>Matriz de medición del PE FM [A18], hoja 'PE MEDICION 2024 - 2025-I', fila 41</t>
        </is>
      </c>
      <c r="F125" s="4" t="inlineStr">
        <is>
          <t>Anual</t>
        </is>
      </c>
      <c r="G125" s="4" t="inlineStr">
        <is>
          <t>número</t>
        </is>
      </c>
      <c r="H125" s="4" t="inlineStr">
        <is>
          <t>Mayor es mejor</t>
        </is>
      </c>
      <c r="I125" s="4" t="inlineStr">
        <is>
          <t>Centro de Responsabilidad Social y Extensión Universitaria</t>
        </is>
      </c>
      <c r="J125" s="4" t="inlineStr">
        <is>
          <t>PE FM</t>
        </is>
      </c>
      <c r="K125" s="4" t="inlineStr"/>
      <c r="L125" s="4" t="inlineStr"/>
    </row>
    <row r="126">
      <c r="A126" s="4" t="inlineStr">
        <is>
          <t>PEFM-AE.03.05</t>
        </is>
      </c>
      <c r="B126" s="4" t="inlineStr">
        <is>
          <t>PE FM</t>
        </is>
      </c>
      <c r="C126" s="4" t="inlineStr">
        <is>
          <t>Actividades de universidad saludable ejecutadas (número)</t>
        </is>
      </c>
      <c r="D126" s="4" t="inlineStr">
        <is>
          <t>Según la matriz del PE FM [A11] y la matriz de medición [A18]; método de cálculo en la columna E de [A18]</t>
        </is>
      </c>
      <c r="E126" s="4" t="inlineStr">
        <is>
          <t>Matriz de medición del PE FM [A18], hoja 'PE MEDICION 2024 - 2025-I', fila 42</t>
        </is>
      </c>
      <c r="F126" s="4" t="inlineStr">
        <is>
          <t>Anual</t>
        </is>
      </c>
      <c r="G126" s="4" t="inlineStr">
        <is>
          <t>número</t>
        </is>
      </c>
      <c r="H126" s="4" t="inlineStr">
        <is>
          <t>Mayor es mejor</t>
        </is>
      </c>
      <c r="I126" s="4" t="inlineStr">
        <is>
          <t>Centro de Responsabilidad Social y Extensión Universitaria</t>
        </is>
      </c>
      <c r="J126" s="4" t="inlineStr">
        <is>
          <t>PE FM</t>
        </is>
      </c>
      <c r="K126" s="4" t="inlineStr"/>
      <c r="L126" s="4" t="inlineStr"/>
    </row>
    <row r="127">
      <c r="A127" s="4" t="inlineStr">
        <is>
          <t>PEFM-OE.04</t>
        </is>
      </c>
      <c r="B127" s="4" t="inlineStr">
        <is>
          <t>PE FM</t>
        </is>
      </c>
      <c r="C127" s="4" t="inlineStr">
        <is>
          <t>Índice de implementación de la modernización de la gestión pública (0 a 1)</t>
        </is>
      </c>
      <c r="D127" s="4" t="inlineStr">
        <is>
          <t>Según la matriz del PE FM [A11] y la matriz de medición [A18]; método de cálculo en la columna E de [A18]</t>
        </is>
      </c>
      <c r="E127" s="4" t="inlineStr">
        <is>
          <t>Matriz de medición del PE FM [A18], hoja 'PE MEDICION 2024 - 2025-I', fila 45</t>
        </is>
      </c>
      <c r="F127" s="4" t="inlineStr">
        <is>
          <t>Anual</t>
        </is>
      </c>
      <c r="G127" s="4" t="inlineStr">
        <is>
          <t>número</t>
        </is>
      </c>
      <c r="H127" s="4" t="inlineStr">
        <is>
          <t>Mayor es mejor</t>
        </is>
      </c>
      <c r="I127" s="4" t="inlineStr">
        <is>
          <t>Dirección Administrativa</t>
        </is>
      </c>
      <c r="J127" s="4" t="inlineStr">
        <is>
          <t>PE FM</t>
        </is>
      </c>
      <c r="K127" s="4" t="inlineStr"/>
      <c r="L127" s="4" t="inlineStr"/>
    </row>
    <row r="128">
      <c r="A128" s="4" t="inlineStr">
        <is>
          <t>PEFM-AE.04.01</t>
        </is>
      </c>
      <c r="B128" s="4" t="inlineStr">
        <is>
          <t>PE FM</t>
        </is>
      </c>
      <c r="C128" s="4" t="inlineStr">
        <is>
          <t>Procedimientos implementados, aprobados por resolución decanal (número)</t>
        </is>
      </c>
      <c r="D128" s="4" t="inlineStr">
        <is>
          <t>Según la matriz del PE FM [A11] y la matriz de medición [A18]; método de cálculo en la columna E de [A18]</t>
        </is>
      </c>
      <c r="E128" s="4" t="inlineStr">
        <is>
          <t>Matriz de medición del PE FM [A18], hoja 'PE MEDICION 2024 - 2025-I', fila 48</t>
        </is>
      </c>
      <c r="F128" s="4" t="inlineStr">
        <is>
          <t>Anual</t>
        </is>
      </c>
      <c r="G128" s="4" t="inlineStr">
        <is>
          <t>número</t>
        </is>
      </c>
      <c r="H128" s="4" t="inlineStr">
        <is>
          <t>Mayor es mejor</t>
        </is>
      </c>
      <c r="I128" s="4" t="inlineStr">
        <is>
          <t>Dirección Administrativa</t>
        </is>
      </c>
      <c r="J128" s="4" t="inlineStr">
        <is>
          <t>PE FM</t>
        </is>
      </c>
      <c r="K128" s="4" t="inlineStr"/>
      <c r="L128" s="4" t="inlineStr"/>
    </row>
    <row r="129">
      <c r="A129" s="4" t="inlineStr">
        <is>
          <t>PEFM-AE.04.02</t>
        </is>
      </c>
      <c r="B129" s="4" t="inlineStr">
        <is>
          <t>PE FM</t>
        </is>
      </c>
      <c r="C129" s="4" t="inlineStr">
        <is>
          <t>Ejecución del presupuesto para infraestructura y equipamiento (%)</t>
        </is>
      </c>
      <c r="D129" s="4" t="inlineStr">
        <is>
          <t>Según la matriz del PE FM [A11] y la matriz de medición [A18]; método de cálculo en la columna E de [A18]</t>
        </is>
      </c>
      <c r="E129" s="4" t="inlineStr">
        <is>
          <t>Matriz de medición del PE FM [A18], hoja 'PE MEDICION 2024 - 2025-I', fila 49</t>
        </is>
      </c>
      <c r="F129" s="4" t="inlineStr">
        <is>
          <t>Anual</t>
        </is>
      </c>
      <c r="G129" s="4" t="inlineStr">
        <is>
          <t>%</t>
        </is>
      </c>
      <c r="H129" s="4" t="inlineStr">
        <is>
          <t>Mayor es mejor</t>
        </is>
      </c>
      <c r="I129" s="4" t="inlineStr">
        <is>
          <t>Dirección Administrativa</t>
        </is>
      </c>
      <c r="J129" s="4" t="inlineStr">
        <is>
          <t>PE FM</t>
        </is>
      </c>
      <c r="K129" s="4" t="inlineStr"/>
      <c r="L129" s="4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14" customWidth="1" min="3" max="3"/>
    <col width="16" customWidth="1" min="4" max="4"/>
    <col width="36" customWidth="1" min="5" max="5"/>
    <col width="22" customWidth="1" min="6" max="6"/>
    <col width="40" customWidth="1" min="7" max="7"/>
    <col width="44" customWidth="1" min="8" max="8"/>
  </cols>
  <sheetData>
    <row r="1">
      <c r="A1" s="1" t="inlineStr">
        <is>
          <t>Relaciones entre los 29 indicadores SINEACE, los indicadores de proceso, las fichas del SGC y los 9 procesos del criterio 10.2</t>
        </is>
      </c>
    </row>
    <row r="2">
      <c r="A2" s="2" t="inlineStr">
        <is>
          <t>Vínculos del tablero v0.3 y de la matriz v0.7 [CP]. Los criterios de ID4, ID10, ID11, ID23, ID27 e ID29 fueron corregidos por Robert el 20-10-2026 contrastando con las fichas del Modelo; ID9 sigue por confirmar.</t>
        </is>
      </c>
    </row>
    <row r="4" ht="32" customHeight="1">
      <c r="A4" s="5" t="inlineStr">
        <is>
          <t>ID</t>
        </is>
      </c>
      <c r="B4" s="5" t="inlineStr">
        <is>
          <t>indicador SINEACE</t>
        </is>
      </c>
      <c r="C4" s="5" t="inlineStr">
        <is>
          <t>referencia CONEAU</t>
        </is>
      </c>
      <c r="D4" s="5" t="inlineStr">
        <is>
          <t>estándar(es)</t>
        </is>
      </c>
      <c r="E4" s="5" t="inlineStr">
        <is>
          <t>indicadores de proceso que lo miden</t>
        </is>
      </c>
      <c r="F4" s="5" t="inlineStr">
        <is>
          <t>fichas SGC</t>
        </is>
      </c>
      <c r="G4" s="5" t="inlineStr">
        <is>
          <t>procesos 10.2</t>
        </is>
      </c>
      <c r="H4" s="5" t="inlineStr">
        <is>
          <t>criterios del Modelo</t>
        </is>
      </c>
    </row>
    <row r="5">
      <c r="A5" s="4" t="inlineStr">
        <is>
          <t>ID1</t>
        </is>
      </c>
      <c r="B5" s="4" t="inlineStr">
        <is>
          <t>Porcentaje de estudiantes satisfechos con el currículo</t>
        </is>
      </c>
      <c r="C5" s="4" t="inlineStr">
        <is>
          <t>60%</t>
        </is>
      </c>
      <c r="D5" s="4" t="inlineStr">
        <is>
          <t>E2, E3, E8</t>
        </is>
      </c>
      <c r="E5" s="4" t="inlineStr">
        <is>
          <t>PM01-I1</t>
        </is>
      </c>
      <c r="F5" s="4" t="inlineStr">
        <is>
          <t>ME01</t>
        </is>
      </c>
      <c r="G5" s="4" t="inlineStr">
        <is>
          <t>P1 Diseño, evaluación y modificación curricular</t>
        </is>
      </c>
      <c r="H5" s="4" t="inlineStr">
        <is>
          <t>2.1, 3.1, 8.2</t>
        </is>
      </c>
    </row>
    <row r="6">
      <c r="A6" s="4" t="inlineStr">
        <is>
          <t>ID2</t>
        </is>
      </c>
      <c r="B6" s="4" t="inlineStr">
        <is>
          <t>Porcentaje de estudiantes satisfechos con el desempeño docente</t>
        </is>
      </c>
      <c r="C6" s="4" t="inlineStr">
        <is>
          <t>70%</t>
        </is>
      </c>
      <c r="D6" s="4" t="inlineStr">
        <is>
          <t>E4, E8</t>
        </is>
      </c>
      <c r="E6" s="4" t="inlineStr">
        <is>
          <t>Sin indicador de proceso</t>
        </is>
      </c>
      <c r="F6" s="4" t="inlineStr">
        <is>
          <t>ME01, PS01</t>
        </is>
      </c>
      <c r="G6" s="4" t="inlineStr">
        <is>
          <t>Ninguno de los nueve</t>
        </is>
      </c>
      <c r="H6" s="4" t="inlineStr">
        <is>
          <t>4.2, 4.3, 4.4, 8.2, 8.3</t>
        </is>
      </c>
    </row>
    <row r="7">
      <c r="A7" s="4" t="inlineStr">
        <is>
          <t>ID3</t>
        </is>
      </c>
      <c r="B7" s="4" t="inlineStr">
        <is>
          <t>Porcentaje de estudiantes satisfechos con los recursos para la enseñanza-aprendizaje</t>
        </is>
      </c>
      <c r="C7" s="4" t="inlineStr">
        <is>
          <t>70%</t>
        </is>
      </c>
      <c r="D7" s="4" t="inlineStr">
        <is>
          <t>E3, E5, E8</t>
        </is>
      </c>
      <c r="E7" s="4" t="inlineStr">
        <is>
          <t>PS03-I3, PS04-I2</t>
        </is>
      </c>
      <c r="F7" s="4" t="inlineStr">
        <is>
          <t>ME01</t>
        </is>
      </c>
      <c r="G7" s="4" t="inlineStr">
        <is>
          <t>P4 Mantenimiento de infraestructura y equipamiento</t>
        </is>
      </c>
      <c r="H7" s="4" t="inlineStr">
        <is>
          <t>3.1, 5.1, 5.2, 5.3, 5.5, 8.2</t>
        </is>
      </c>
    </row>
    <row r="8">
      <c r="A8" s="4" t="inlineStr">
        <is>
          <t>ID4</t>
        </is>
      </c>
      <c r="B8" s="4" t="inlineStr">
        <is>
          <t>Porcentaje de estudiantes satisfechos con la evaluación del aprendizaje</t>
        </is>
      </c>
      <c r="C8" s="4" t="inlineStr">
        <is>
          <t>60%</t>
        </is>
      </c>
      <c r="D8" s="4" t="inlineStr">
        <is>
          <t>E3, E4, E8</t>
        </is>
      </c>
      <c r="E8" s="4" t="inlineStr">
        <is>
          <t>PM03-I3</t>
        </is>
      </c>
      <c r="F8" s="4" t="inlineStr">
        <is>
          <t>ME01, ME02</t>
        </is>
      </c>
      <c r="G8" s="4" t="inlineStr">
        <is>
          <t>P1 Diseño, evaluación y modificación curricular; P3 Enseñanza-aprendizaje; P5 Evaluación del aprendizaje</t>
        </is>
      </c>
      <c r="H8" s="4" t="inlineStr">
        <is>
          <t>3.1, 3.2, 3.3, 3.4, 4.1, 8.2, 8.4 (corregido el 20-10-2026)</t>
        </is>
      </c>
    </row>
    <row r="9">
      <c r="A9" s="4" t="inlineStr">
        <is>
          <t>ID5</t>
        </is>
      </c>
      <c r="B9" s="4" t="inlineStr">
        <is>
          <t>Porcentaje de estudiantes satisfechos con la asesoría o tutoría para la obtención del título</t>
        </is>
      </c>
      <c r="C9" s="4" t="inlineStr">
        <is>
          <t>70%</t>
        </is>
      </c>
      <c r="D9" s="4" t="inlineStr">
        <is>
          <t>E3, E8</t>
        </is>
      </c>
      <c r="E9" s="4" t="inlineStr">
        <is>
          <t>PM05-I1</t>
        </is>
      </c>
      <c r="F9" s="4" t="inlineStr">
        <is>
          <t>ME01, PM05</t>
        </is>
      </c>
      <c r="G9" s="4" t="inlineStr">
        <is>
          <t>P3 Enseñanza-aprendizaje; P7 Relación con las partes interesadas</t>
        </is>
      </c>
      <c r="H9" s="4" t="inlineStr">
        <is>
          <t>3.5, 8.2</t>
        </is>
      </c>
    </row>
    <row r="10">
      <c r="A10" s="4" t="inlineStr">
        <is>
          <t>ID6</t>
        </is>
      </c>
      <c r="B10" s="4" t="inlineStr">
        <is>
          <t>Evolución del porcentaje de postulantes al programa</t>
        </is>
      </c>
      <c r="C10" s="4" t="inlineStr">
        <is>
          <t>0% (valor referencial del texto)</t>
        </is>
      </c>
      <c r="D10" s="4" t="inlineStr">
        <is>
          <t>E8</t>
        </is>
      </c>
      <c r="E10" s="4" t="inlineStr">
        <is>
          <t>PM02-I1</t>
        </is>
      </c>
      <c r="F10" s="4" t="inlineStr">
        <is>
          <t>PM02, ME03</t>
        </is>
      </c>
      <c r="G10" s="4" t="inlineStr">
        <is>
          <t>Ninguno de los nueve</t>
        </is>
      </c>
      <c r="H10" s="4" t="inlineStr">
        <is>
          <t>8.2</t>
        </is>
      </c>
    </row>
    <row r="11">
      <c r="A11" s="4" t="inlineStr">
        <is>
          <t>ID7</t>
        </is>
      </c>
      <c r="B11" s="4" t="inlineStr">
        <is>
          <t>Porcentaje de estudiantes satisfechos con los programas de bienestar y actividades recreativas, culturales, artísticas y deportivas</t>
        </is>
      </c>
      <c r="C11" s="4" t="inlineStr">
        <is>
          <t>70%</t>
        </is>
      </c>
      <c r="D11" s="4" t="inlineStr">
        <is>
          <t>E7, E8</t>
        </is>
      </c>
      <c r="E11" s="4" t="inlineStr">
        <is>
          <t>Sin indicador de proceso</t>
        </is>
      </c>
      <c r="F11" s="4" t="inlineStr">
        <is>
          <t>ME01, PM05</t>
        </is>
      </c>
      <c r="G11" s="4" t="inlineStr">
        <is>
          <t>Ninguno de los nueve</t>
        </is>
      </c>
      <c r="H11" s="4" t="inlineStr">
        <is>
          <t>7.4, 8.2</t>
        </is>
      </c>
    </row>
    <row r="12">
      <c r="A12" s="4" t="inlineStr">
        <is>
          <t>ID8</t>
        </is>
      </c>
      <c r="B12" s="4" t="inlineStr">
        <is>
          <t>Porcentaje de estudiantes satisfechos con los procedimientos de los servicios administrativos</t>
        </is>
      </c>
      <c r="C12" s="4" t="inlineStr">
        <is>
          <t>60%</t>
        </is>
      </c>
      <c r="D12" s="4" t="inlineStr">
        <is>
          <t>E1, E8</t>
        </is>
      </c>
      <c r="E12" s="4" t="inlineStr">
        <is>
          <t>ME01-I3, PS02-I3</t>
        </is>
      </c>
      <c r="F12" s="4" t="inlineStr">
        <is>
          <t>ME01, PS02</t>
        </is>
      </c>
      <c r="G12" s="4" t="inlineStr">
        <is>
          <t>P7 Relación con las partes interesadas</t>
        </is>
      </c>
      <c r="H12" s="4" t="inlineStr">
        <is>
          <t>1.5, 8.2</t>
        </is>
      </c>
    </row>
    <row r="13">
      <c r="A13" s="4" t="inlineStr">
        <is>
          <t>ID9</t>
        </is>
      </c>
      <c r="B13" s="4" t="inlineStr">
        <is>
          <t>Porcentaje de estudiantes satisfechos con los servicios de apoyo pedagógico</t>
        </is>
      </c>
      <c r="C13" s="4" t="inlineStr">
        <is>
          <t>70%</t>
        </is>
      </c>
      <c r="D13" s="4" t="inlineStr">
        <is>
          <t>E3, E7, E8</t>
        </is>
      </c>
      <c r="E13" s="4" t="inlineStr">
        <is>
          <t>PM05-I2</t>
        </is>
      </c>
      <c r="F13" s="4" t="inlineStr">
        <is>
          <t>ME01, PM05</t>
        </is>
      </c>
      <c r="G13" s="4" t="inlineStr">
        <is>
          <t>P3 Enseñanza-aprendizaje; P7 Relación con las partes interesadas</t>
        </is>
      </c>
      <c r="H13" s="4" t="inlineStr">
        <is>
          <t>3.5, 7.4, 8.2 (según ficha); por confirmar. Los criterios 3.1, 6.1 y 8.4 que se veían junto a esta ficha corresponden a ID10 según la corrección de Robert del 20-10-2026</t>
        </is>
      </c>
    </row>
    <row r="14">
      <c r="A14" s="4" t="inlineStr">
        <is>
          <t>ID10</t>
        </is>
      </c>
      <c r="B14" s="4" t="inlineStr">
        <is>
          <t>Porcentaje de estudiantes aprobados por asignatura</t>
        </is>
      </c>
      <c r="C14" s="4" t="inlineStr">
        <is>
          <t>80%</t>
        </is>
      </c>
      <c r="D14" s="4" t="inlineStr">
        <is>
          <t>E3, E6, E8</t>
        </is>
      </c>
      <c r="E14" s="4" t="inlineStr">
        <is>
          <t>PM03-I2, ME02-I2</t>
        </is>
      </c>
      <c r="F14" s="4" t="inlineStr">
        <is>
          <t>ME02, PM03</t>
        </is>
      </c>
      <c r="G14" s="4" t="inlineStr">
        <is>
          <t>P1 Diseño, evaluación y modificación curricular; P3 Enseñanza-aprendizaje; P5 Evaluación del aprendizaje</t>
        </is>
      </c>
      <c r="H14" s="4" t="inlineStr">
        <is>
          <t>3.1, 6.1, 8.4 (corregido el 20-10-2026)</t>
        </is>
      </c>
    </row>
    <row r="15">
      <c r="A15" s="4" t="inlineStr">
        <is>
          <t>ID11</t>
        </is>
      </c>
      <c r="B15" s="4" t="inlineStr">
        <is>
          <t>Porcentaje de cumplimiento de los sílabos</t>
        </is>
      </c>
      <c r="C15" s="4" t="inlineStr">
        <is>
          <t>90%</t>
        </is>
      </c>
      <c r="D15" s="4" t="inlineStr">
        <is>
          <t>E2, E9</t>
        </is>
      </c>
      <c r="E15" s="4" t="inlineStr">
        <is>
          <t>PM03-I1</t>
        </is>
      </c>
      <c r="F15" s="4" t="inlineStr">
        <is>
          <t>PM03, ME03</t>
        </is>
      </c>
      <c r="G15" s="4" t="inlineStr">
        <is>
          <t>P1 Diseño, evaluación y modificación curricular; P3 Enseñanza-aprendizaje; P5 Evaluación del aprendizaje</t>
        </is>
      </c>
      <c r="H15" s="4" t="inlineStr">
        <is>
          <t>2.7, 9.3 (corregido el 20-10-2026)</t>
        </is>
      </c>
    </row>
    <row r="16">
      <c r="A16" s="4" t="inlineStr">
        <is>
          <t>ID12</t>
        </is>
      </c>
      <c r="B16" s="4" t="inlineStr">
        <is>
          <t>Porcentaje de docentes satisfechos con el currículo</t>
        </is>
      </c>
      <c r="C16" s="4" t="inlineStr">
        <is>
          <t>70%</t>
        </is>
      </c>
      <c r="D16" s="4" t="inlineStr">
        <is>
          <t>E2, E8</t>
        </is>
      </c>
      <c r="E16" s="4" t="inlineStr">
        <is>
          <t>PM01-I2</t>
        </is>
      </c>
      <c r="F16" s="4" t="inlineStr">
        <is>
          <t>ME01</t>
        </is>
      </c>
      <c r="G16" s="4" t="inlineStr">
        <is>
          <t>P1 Diseño, evaluación y modificación curricular</t>
        </is>
      </c>
      <c r="H16" s="4" t="inlineStr">
        <is>
          <t>2.1, 8.2</t>
        </is>
      </c>
    </row>
    <row r="17">
      <c r="A17" s="4" t="inlineStr">
        <is>
          <t>ID13</t>
        </is>
      </c>
      <c r="B17" s="4" t="inlineStr">
        <is>
          <t>Porcentaje de docentes a tiempo completo</t>
        </is>
      </c>
      <c r="C17" s="4" t="inlineStr">
        <is>
          <t>15%</t>
        </is>
      </c>
      <c r="D17" s="4" t="inlineStr">
        <is>
          <t>E4, E8</t>
        </is>
      </c>
      <c r="E17" s="4" t="inlineStr">
        <is>
          <t>PS01-I2</t>
        </is>
      </c>
      <c r="F17" s="4" t="inlineStr">
        <is>
          <t>PS01, ME03</t>
        </is>
      </c>
      <c r="G17" s="4" t="inlineStr">
        <is>
          <t>P2 Gestión docente</t>
        </is>
      </c>
      <c r="H17" s="4" t="inlineStr">
        <is>
          <t>4.3, 8.2</t>
        </is>
      </c>
    </row>
    <row r="18">
      <c r="A18" s="4" t="inlineStr">
        <is>
          <t>ID14</t>
        </is>
      </c>
      <c r="B18" s="4" t="inlineStr">
        <is>
          <t>Porcentaje de docentes con grado académico de doctor</t>
        </is>
      </c>
      <c r="C18" s="4" t="inlineStr">
        <is>
          <t>20%</t>
        </is>
      </c>
      <c r="D18" s="4" t="inlineStr">
        <is>
          <t>E4, E8</t>
        </is>
      </c>
      <c r="E18" s="4" t="inlineStr">
        <is>
          <t>PS01-I3</t>
        </is>
      </c>
      <c r="F18" s="4" t="inlineStr">
        <is>
          <t>PS01, ME03</t>
        </is>
      </c>
      <c r="G18" s="4" t="inlineStr">
        <is>
          <t>P2 Gestión docente</t>
        </is>
      </c>
      <c r="H18" s="4" t="inlineStr">
        <is>
          <t>4.1, 4.3, 4.6, 8.2</t>
        </is>
      </c>
    </row>
    <row r="19">
      <c r="A19" s="4" t="inlineStr">
        <is>
          <t>ID15</t>
        </is>
      </c>
      <c r="B19" s="4" t="inlineStr">
        <is>
          <t>Porcentaje de docentes con formación, capacitación o especialización en docencia e investigación en los últimos dos años</t>
        </is>
      </c>
      <c r="C19" s="4" t="inlineStr">
        <is>
          <t>50%</t>
        </is>
      </c>
      <c r="D19" s="4" t="inlineStr">
        <is>
          <t>E4, E8</t>
        </is>
      </c>
      <c r="E19" s="4" t="inlineStr">
        <is>
          <t>PS01-I4</t>
        </is>
      </c>
      <c r="F19" s="4" t="inlineStr">
        <is>
          <t>PS01, ME03</t>
        </is>
      </c>
      <c r="G19" s="4" t="inlineStr">
        <is>
          <t>P2 Gestión docente</t>
        </is>
      </c>
      <c r="H19" s="4" t="inlineStr">
        <is>
          <t>4.4, 4.5, 8.2</t>
        </is>
      </c>
    </row>
    <row r="20">
      <c r="A20" s="4" t="inlineStr">
        <is>
          <t>ID16</t>
        </is>
      </c>
      <c r="B20" s="4" t="inlineStr">
        <is>
          <t>Porcentaje de docentes satisfechos con las actividades de fortalecimiento de capacidades y desarrollo académico</t>
        </is>
      </c>
      <c r="C20" s="4" t="inlineStr">
        <is>
          <t>70%</t>
        </is>
      </c>
      <c r="D20" s="4" t="inlineStr">
        <is>
          <t>E4, E8</t>
        </is>
      </c>
      <c r="E20" s="4" t="inlineStr">
        <is>
          <t>Sin indicador de proceso</t>
        </is>
      </c>
      <c r="F20" s="4" t="inlineStr">
        <is>
          <t>ME01, PS01</t>
        </is>
      </c>
      <c r="G20" s="4" t="inlineStr">
        <is>
          <t>Ninguno de los nueve</t>
        </is>
      </c>
      <c r="H20" s="4" t="inlineStr">
        <is>
          <t>4.4, 4.5, 8.2</t>
        </is>
      </c>
    </row>
    <row r="21">
      <c r="A21" s="4" t="inlineStr">
        <is>
          <t>ID17</t>
        </is>
      </c>
      <c r="B21" s="4" t="inlineStr">
        <is>
          <t>Porcentaje de docentes satisfechos con los recursos para la enseñanza-aprendizaje</t>
        </is>
      </c>
      <c r="C21" s="4" t="inlineStr">
        <is>
          <t>70%</t>
        </is>
      </c>
      <c r="D21" s="4" t="inlineStr">
        <is>
          <t>E5, E8</t>
        </is>
      </c>
      <c r="E21" s="4" t="inlineStr">
        <is>
          <t>PS03-I4</t>
        </is>
      </c>
      <c r="F21" s="4" t="inlineStr">
        <is>
          <t>ME01</t>
        </is>
      </c>
      <c r="G21" s="4" t="inlineStr">
        <is>
          <t>P4 Mantenimiento de infraestructura y equipamiento</t>
        </is>
      </c>
      <c r="H21" s="4" t="inlineStr">
        <is>
          <t>5.1, 5.2, 5.3, 5.5, 8.2</t>
        </is>
      </c>
    </row>
    <row r="22">
      <c r="A22" s="4" t="inlineStr">
        <is>
          <t>ID18</t>
        </is>
      </c>
      <c r="B22" s="4" t="inlineStr">
        <is>
          <t>Porcentaje de docentes satisfechos con los procedimientos de los servicios administrativos</t>
        </is>
      </c>
      <c r="C22" s="4" t="inlineStr">
        <is>
          <t>75%</t>
        </is>
      </c>
      <c r="D22" s="4" t="inlineStr">
        <is>
          <t>E1, E8</t>
        </is>
      </c>
      <c r="E22" s="4" t="inlineStr">
        <is>
          <t>ME01-I3, PS02-I3</t>
        </is>
      </c>
      <c r="F22" s="4" t="inlineStr">
        <is>
          <t>ME01, PS02</t>
        </is>
      </c>
      <c r="G22" s="4" t="inlineStr">
        <is>
          <t>P7 Relación con las partes interesadas</t>
        </is>
      </c>
      <c r="H22" s="4" t="inlineStr">
        <is>
          <t>1.5, 8.2</t>
        </is>
      </c>
    </row>
    <row r="23">
      <c r="A23" s="4" t="inlineStr">
        <is>
          <t>ID19</t>
        </is>
      </c>
      <c r="B23" s="4" t="inlineStr">
        <is>
          <t>Porcentaje de docentes con desempeño satisfactorio en opinión de los estudiantes</t>
        </is>
      </c>
      <c r="C23" s="4" t="inlineStr">
        <is>
          <t>75%</t>
        </is>
      </c>
      <c r="D23" s="4" t="inlineStr">
        <is>
          <t>E3, E4, E8</t>
        </is>
      </c>
      <c r="E23" s="4" t="inlineStr">
        <is>
          <t>PS01-I1</t>
        </is>
      </c>
      <c r="F23" s="4" t="inlineStr">
        <is>
          <t>PS01, ME01</t>
        </is>
      </c>
      <c r="G23" s="4" t="inlineStr">
        <is>
          <t>P2 Gestión docente</t>
        </is>
      </c>
      <c r="H23" s="4" t="inlineStr">
        <is>
          <t>3.1, 4.1, 4.2, 4.4, 8.3</t>
        </is>
      </c>
    </row>
    <row r="24">
      <c r="A24" s="4" t="inlineStr">
        <is>
          <t>ID20</t>
        </is>
      </c>
      <c r="B24" s="4" t="inlineStr">
        <is>
          <t>Porcentaje de egresados satisfechos con la calidad y utilidad de la formación para su empleabilidad</t>
        </is>
      </c>
      <c r="C24" s="4" t="inlineStr">
        <is>
          <t>70%</t>
        </is>
      </c>
      <c r="D24" s="4" t="inlineStr">
        <is>
          <t>E3, E6, E8</t>
        </is>
      </c>
      <c r="E24" s="4" t="inlineStr">
        <is>
          <t>PM10-P3</t>
        </is>
      </c>
      <c r="F24" s="4" t="inlineStr">
        <is>
          <t>PM08, ME01</t>
        </is>
      </c>
      <c r="G24" s="4" t="inlineStr">
        <is>
          <t>P6 Seguimiento y vinculación con egresados</t>
        </is>
      </c>
      <c r="H24" s="4" t="inlineStr">
        <is>
          <t>3.3, 6.1, 6.2, 8.2</t>
        </is>
      </c>
    </row>
    <row r="25">
      <c r="A25" s="4" t="inlineStr">
        <is>
          <t>ID21</t>
        </is>
      </c>
      <c r="B25" s="4" t="inlineStr">
        <is>
          <t>Porcentaje de egresados satisfechos con los procedimientos de los servicios administrativos</t>
        </is>
      </c>
      <c r="C25" s="4" t="inlineStr">
        <is>
          <t>70%</t>
        </is>
      </c>
      <c r="D25" s="4" t="inlineStr">
        <is>
          <t>E1, E8</t>
        </is>
      </c>
      <c r="E25" s="4" t="inlineStr">
        <is>
          <t>ME01-I3</t>
        </is>
      </c>
      <c r="F25" s="4" t="inlineStr">
        <is>
          <t>PM08, ME01</t>
        </is>
      </c>
      <c r="G25" s="4" t="inlineStr">
        <is>
          <t>P7 Relación con las partes interesadas</t>
        </is>
      </c>
      <c r="H25" s="4" t="inlineStr">
        <is>
          <t>1.5, 8.2</t>
        </is>
      </c>
    </row>
    <row r="26">
      <c r="A26" s="4" t="inlineStr">
        <is>
          <t>ID22</t>
        </is>
      </c>
      <c r="B26" s="4" t="inlineStr">
        <is>
          <t>Porcentaje de egresados satisfechos con la calidad de la enseñanza</t>
        </is>
      </c>
      <c r="C26" s="4" t="inlineStr">
        <is>
          <t>70%</t>
        </is>
      </c>
      <c r="D26" s="4" t="inlineStr">
        <is>
          <t>E3, E6, E8</t>
        </is>
      </c>
      <c r="E26" s="4" t="inlineStr">
        <is>
          <t>Sin indicador de proceso</t>
        </is>
      </c>
      <c r="F26" s="4" t="inlineStr">
        <is>
          <t>PM08, ME01</t>
        </is>
      </c>
      <c r="G26" s="4" t="inlineStr">
        <is>
          <t>Ninguno de los nueve</t>
        </is>
      </c>
      <c r="H26" s="4" t="inlineStr">
        <is>
          <t>3.1, 6.2, 8.2</t>
        </is>
      </c>
    </row>
    <row r="27">
      <c r="A27" s="4" t="inlineStr">
        <is>
          <t>ID23</t>
        </is>
      </c>
      <c r="B27" s="4" t="inlineStr">
        <is>
          <t>Porcentaje de egresados satisfechos con los programas de bienestar y actividades recreativas, culturales, artísticas y deportivas</t>
        </is>
      </c>
      <c r="C27" s="4" t="inlineStr">
        <is>
          <t>70%</t>
        </is>
      </c>
      <c r="D27" s="4" t="inlineStr">
        <is>
          <t>E7, E8</t>
        </is>
      </c>
      <c r="E27" s="4" t="inlineStr">
        <is>
          <t>Sin indicador de proceso</t>
        </is>
      </c>
      <c r="F27" s="4" t="inlineStr">
        <is>
          <t>PM08, ME01</t>
        </is>
      </c>
      <c r="G27" s="4" t="inlineStr">
        <is>
          <t>Ninguno de los nueve</t>
        </is>
      </c>
      <c r="H27" s="4" t="inlineStr">
        <is>
          <t>7.4, 8.2 (corregido el 20-10-2026)</t>
        </is>
      </c>
    </row>
    <row r="28">
      <c r="A28" s="4" t="inlineStr">
        <is>
          <t>ID24</t>
        </is>
      </c>
      <c r="B28" s="4" t="inlineStr">
        <is>
          <t>Porcentaje de egresados satisfechos con los servicios de apoyo al estudiante</t>
        </is>
      </c>
      <c r="C28" s="4" t="inlineStr">
        <is>
          <t>70%</t>
        </is>
      </c>
      <c r="D28" s="4" t="inlineStr">
        <is>
          <t>E3, E7, E8</t>
        </is>
      </c>
      <c r="E28" s="4" t="inlineStr">
        <is>
          <t>Sin indicador de proceso</t>
        </is>
      </c>
      <c r="F28" s="4" t="inlineStr">
        <is>
          <t>PM08, ME01</t>
        </is>
      </c>
      <c r="G28" s="4" t="inlineStr">
        <is>
          <t>Ninguno de los nueve</t>
        </is>
      </c>
      <c r="H28" s="4" t="inlineStr">
        <is>
          <t>3.5, 7.2, 7.4, 8.2</t>
        </is>
      </c>
    </row>
    <row r="29">
      <c r="A29" s="4" t="inlineStr">
        <is>
          <t>ID25</t>
        </is>
      </c>
      <c r="B29" s="4" t="inlineStr">
        <is>
          <t>Tiempo promedio entre egreso y titulación</t>
        </is>
      </c>
      <c r="C29" s="4" t="inlineStr">
        <is>
          <t>2 años</t>
        </is>
      </c>
      <c r="D29" s="4" t="inlineStr">
        <is>
          <t>E8</t>
        </is>
      </c>
      <c r="E29" s="4" t="inlineStr">
        <is>
          <t>PM08-I2</t>
        </is>
      </c>
      <c r="F29" s="4" t="inlineStr">
        <is>
          <t>PM08, ME03</t>
        </is>
      </c>
      <c r="G29" s="4" t="inlineStr">
        <is>
          <t>P6 Seguimiento y vinculación con egresados</t>
        </is>
      </c>
      <c r="H29" s="4" t="inlineStr">
        <is>
          <t>8.5</t>
        </is>
      </c>
    </row>
    <row r="30">
      <c r="A30" s="4" t="inlineStr">
        <is>
          <t>ID26</t>
        </is>
      </c>
      <c r="B30" s="4" t="inlineStr">
        <is>
          <t>Tiempo promedio entre egreso y primer empleo en el campo profesional</t>
        </is>
      </c>
      <c r="C30" s="4" t="inlineStr">
        <is>
          <t>1 año</t>
        </is>
      </c>
      <c r="D30" s="4" t="inlineStr">
        <is>
          <t>E6, E8</t>
        </is>
      </c>
      <c r="E30" s="4" t="inlineStr">
        <is>
          <t>PM10-P4</t>
        </is>
      </c>
      <c r="F30" s="4" t="inlineStr">
        <is>
          <t>PM08, ME03</t>
        </is>
      </c>
      <c r="G30" s="4" t="inlineStr">
        <is>
          <t>P6 Seguimiento y vinculación con egresados</t>
        </is>
      </c>
      <c r="H30" s="4" t="inlineStr">
        <is>
          <t>6.1, 6.2, 6.3, 8.2</t>
        </is>
      </c>
    </row>
    <row r="31">
      <c r="A31" s="4" t="inlineStr">
        <is>
          <t>ID27</t>
        </is>
      </c>
      <c r="B31" s="4" t="inlineStr">
        <is>
          <t>Porcentaje de egresados que laboran en su campo profesional</t>
        </is>
      </c>
      <c r="C31" s="4" t="inlineStr">
        <is>
          <t>50%</t>
        </is>
      </c>
      <c r="D31" s="4" t="inlineStr">
        <is>
          <t>E6, E8</t>
        </is>
      </c>
      <c r="E31" s="4" t="inlineStr">
        <is>
          <t>PM08-I3</t>
        </is>
      </c>
      <c r="F31" s="4" t="inlineStr">
        <is>
          <t>PM08, ME03</t>
        </is>
      </c>
      <c r="G31" s="4" t="inlineStr">
        <is>
          <t>P6 Seguimiento y vinculación con egresados</t>
        </is>
      </c>
      <c r="H31" s="4" t="inlineStr">
        <is>
          <t>6.1, 6.2, 6.3, 8.2 (corregido el 20-10-2026)</t>
        </is>
      </c>
    </row>
    <row r="32">
      <c r="A32" s="4" t="inlineStr">
        <is>
          <t>ID28</t>
        </is>
      </c>
      <c r="B32" s="4" t="inlineStr">
        <is>
          <t>Porcentaje de estudiantes que alcanzan el título profesional dentro de los dos años posteriores al egreso</t>
        </is>
      </c>
      <c r="C32" s="4" t="inlineStr">
        <is>
          <t>60%</t>
        </is>
      </c>
      <c r="D32" s="4" t="inlineStr">
        <is>
          <t>E6, E8</t>
        </is>
      </c>
      <c r="E32" s="4" t="inlineStr">
        <is>
          <t>PM08-I1</t>
        </is>
      </c>
      <c r="F32" s="4" t="inlineStr">
        <is>
          <t>PM08, ME02</t>
        </is>
      </c>
      <c r="G32" s="4" t="inlineStr">
        <is>
          <t>P6 Seguimiento y vinculación con egresados</t>
        </is>
      </c>
      <c r="H32" s="4" t="inlineStr">
        <is>
          <t>6.1, 6.2, 6.3, 8.2, 8.5</t>
        </is>
      </c>
    </row>
    <row r="33">
      <c r="A33" s="4" t="inlineStr">
        <is>
          <t>ID29</t>
        </is>
      </c>
      <c r="B33" s="4" t="inlineStr">
        <is>
          <t>Porcentaje de empleadores satisfechos con el desempeño de los egresados</t>
        </is>
      </c>
      <c r="C33" s="4" t="inlineStr">
        <is>
          <t>70%</t>
        </is>
      </c>
      <c r="D33" s="4" t="inlineStr">
        <is>
          <t>E6, E8</t>
        </is>
      </c>
      <c r="E33" s="4" t="inlineStr">
        <is>
          <t>PM08-I4</t>
        </is>
      </c>
      <c r="F33" s="4" t="inlineStr">
        <is>
          <t>PM08, ME01</t>
        </is>
      </c>
      <c r="G33" s="4" t="inlineStr">
        <is>
          <t>P6 Seguimiento y vinculación con egresados</t>
        </is>
      </c>
      <c r="H33" s="4" t="inlineStr">
        <is>
          <t>6.1, 6.2, 6.3, 8.2, 8.5 (corregido el 20-10-2026)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5" t="inlineStr">
        <is>
          <t>periodos</t>
        </is>
      </c>
      <c r="B1" s="5" t="inlineStr">
        <is>
          <t>estados_validacion</t>
        </is>
      </c>
      <c r="C1" s="5" t="inlineStr">
        <is>
          <t>evidencias</t>
        </is>
      </c>
      <c r="D1" s="5" t="inlineStr">
        <is>
          <t>areas</t>
        </is>
      </c>
      <c r="E1" s="5" t="inlineStr">
        <is>
          <t>indicadores</t>
        </is>
      </c>
      <c r="F1" s="5" t="inlineStr">
        <is>
          <t>escuela_id</t>
        </is>
      </c>
      <c r="G1" s="5" t="inlineStr">
        <is>
          <t>escuela_nombre</t>
        </is>
      </c>
      <c r="H1" s="5" t="inlineStr">
        <is>
          <t>origen</t>
        </is>
      </c>
      <c r="I1" s="5" t="inlineStr">
        <is>
          <t>estado_evidencia</t>
        </is>
      </c>
      <c r="J1" s="5" t="inlineStr">
        <is>
          <t>si_no</t>
        </is>
      </c>
    </row>
    <row r="2">
      <c r="A2" t="inlineStr">
        <is>
          <t>2022</t>
        </is>
      </c>
      <c r="B2" t="inlineStr">
        <is>
          <t>Borrador</t>
        </is>
      </c>
      <c r="C2" t="inlineStr">
        <is>
          <t>EV1</t>
        </is>
      </c>
      <c r="D2" t="inlineStr">
        <is>
          <t>Radiología</t>
        </is>
      </c>
      <c r="E2" t="inlineStr">
        <is>
          <t>ID1</t>
        </is>
      </c>
      <c r="F2" t="inlineStr">
        <is>
          <t>ENF</t>
        </is>
      </c>
      <c r="G2" t="inlineStr">
        <is>
          <t>Enfermería</t>
        </is>
      </c>
      <c r="H2" t="inlineStr">
        <is>
          <t>Real</t>
        </is>
      </c>
      <c r="I2" t="inlineStr">
        <is>
          <t>Validada</t>
        </is>
      </c>
      <c r="J2" t="inlineStr">
        <is>
          <t>Sí</t>
        </is>
      </c>
    </row>
    <row r="3">
      <c r="A3" t="inlineStr">
        <is>
          <t>2022-S1</t>
        </is>
      </c>
      <c r="B3" t="inlineStr">
        <is>
          <t>Observado</t>
        </is>
      </c>
      <c r="C3" t="inlineStr">
        <is>
          <t>EV2</t>
        </is>
      </c>
      <c r="D3" t="inlineStr">
        <is>
          <t>Terapia Física</t>
        </is>
      </c>
      <c r="E3" t="inlineStr">
        <is>
          <t>ID2</t>
        </is>
      </c>
      <c r="F3" t="inlineStr">
        <is>
          <t>OBS</t>
        </is>
      </c>
      <c r="G3" t="inlineStr">
        <is>
          <t>Obstetricia</t>
        </is>
      </c>
      <c r="H3" t="inlineStr">
        <is>
          <t>EJEMPLO</t>
        </is>
      </c>
      <c r="I3" t="inlineStr">
        <is>
          <t>Disponible</t>
        </is>
      </c>
      <c r="J3" t="inlineStr">
        <is>
          <t>No</t>
        </is>
      </c>
    </row>
    <row r="4">
      <c r="A4" t="inlineStr">
        <is>
          <t>2022-S2</t>
        </is>
      </c>
      <c r="B4" t="inlineStr">
        <is>
          <t>Validado</t>
        </is>
      </c>
      <c r="C4" t="inlineStr">
        <is>
          <t>EV3</t>
        </is>
      </c>
      <c r="D4" t="inlineStr">
        <is>
          <t>Terapia Ocupacional</t>
        </is>
      </c>
      <c r="E4" t="inlineStr">
        <is>
          <t>ID3</t>
        </is>
      </c>
      <c r="F4" t="inlineStr">
        <is>
          <t>TM</t>
        </is>
      </c>
      <c r="G4" t="inlineStr">
        <is>
          <t>Tecnología Médica</t>
        </is>
      </c>
      <c r="I4" t="inlineStr">
        <is>
          <t>En elaboración</t>
        </is>
      </c>
      <c r="J4" t="inlineStr">
        <is>
          <t>Solo Facultad</t>
        </is>
      </c>
    </row>
    <row r="5">
      <c r="A5" t="inlineStr">
        <is>
          <t>2022-T1</t>
        </is>
      </c>
      <c r="C5" t="inlineStr">
        <is>
          <t>EV4</t>
        </is>
      </c>
      <c r="D5" t="inlineStr">
        <is>
          <t>Laboratorio Clínico y Anatomía Patológica</t>
        </is>
      </c>
      <c r="E5" t="inlineStr">
        <is>
          <t>ID4</t>
        </is>
      </c>
      <c r="F5" t="inlineStr">
        <is>
          <t>FAC</t>
        </is>
      </c>
      <c r="G5" t="inlineStr">
        <is>
          <t>Facultad (marco común)</t>
        </is>
      </c>
      <c r="I5" t="inlineStr">
        <is>
          <t>No iniciada</t>
        </is>
      </c>
    </row>
    <row r="6">
      <c r="A6" t="inlineStr">
        <is>
          <t>2022-T2</t>
        </is>
      </c>
      <c r="C6" t="inlineStr">
        <is>
          <t>EV5</t>
        </is>
      </c>
      <c r="E6" t="inlineStr">
        <is>
          <t>ID5</t>
        </is>
      </c>
      <c r="I6" t="inlineStr">
        <is>
          <t>No aplica</t>
        </is>
      </c>
    </row>
    <row r="7">
      <c r="A7" t="inlineStr">
        <is>
          <t>2022-T3</t>
        </is>
      </c>
      <c r="C7" t="inlineStr">
        <is>
          <t>EV6</t>
        </is>
      </c>
      <c r="E7" t="inlineStr">
        <is>
          <t>ID6</t>
        </is>
      </c>
    </row>
    <row r="8">
      <c r="A8" t="inlineStr">
        <is>
          <t>2022-T4</t>
        </is>
      </c>
      <c r="C8" t="inlineStr">
        <is>
          <t>EV7</t>
        </is>
      </c>
      <c r="E8" t="inlineStr">
        <is>
          <t>ID7</t>
        </is>
      </c>
    </row>
    <row r="9">
      <c r="A9" t="inlineStr">
        <is>
          <t>2022-01</t>
        </is>
      </c>
      <c r="C9" t="inlineStr">
        <is>
          <t>EV8</t>
        </is>
      </c>
      <c r="E9" t="inlineStr">
        <is>
          <t>ID8</t>
        </is>
      </c>
    </row>
    <row r="10">
      <c r="A10" t="inlineStr">
        <is>
          <t>2022-02</t>
        </is>
      </c>
      <c r="C10" t="inlineStr">
        <is>
          <t>EV9</t>
        </is>
      </c>
      <c r="E10" t="inlineStr">
        <is>
          <t>ID9</t>
        </is>
      </c>
    </row>
    <row r="11">
      <c r="A11" t="inlineStr">
        <is>
          <t>2022-03</t>
        </is>
      </c>
      <c r="C11" t="inlineStr">
        <is>
          <t>EV10</t>
        </is>
      </c>
      <c r="E11" t="inlineStr">
        <is>
          <t>ID10</t>
        </is>
      </c>
    </row>
    <row r="12">
      <c r="A12" t="inlineStr">
        <is>
          <t>2022-04</t>
        </is>
      </c>
      <c r="C12" t="inlineStr">
        <is>
          <t>EV11</t>
        </is>
      </c>
      <c r="E12" t="inlineStr">
        <is>
          <t>ID11</t>
        </is>
      </c>
    </row>
    <row r="13">
      <c r="A13" t="inlineStr">
        <is>
          <t>2022-05</t>
        </is>
      </c>
      <c r="C13" t="inlineStr">
        <is>
          <t>EV12</t>
        </is>
      </c>
      <c r="E13" t="inlineStr">
        <is>
          <t>ID12</t>
        </is>
      </c>
    </row>
    <row r="14">
      <c r="A14" t="inlineStr">
        <is>
          <t>2022-06</t>
        </is>
      </c>
      <c r="C14" t="inlineStr">
        <is>
          <t>EV13</t>
        </is>
      </c>
      <c r="E14" t="inlineStr">
        <is>
          <t>ID13</t>
        </is>
      </c>
    </row>
    <row r="15">
      <c r="A15" t="inlineStr">
        <is>
          <t>2022-07</t>
        </is>
      </c>
      <c r="C15" t="inlineStr">
        <is>
          <t>EV14</t>
        </is>
      </c>
      <c r="E15" t="inlineStr">
        <is>
          <t>ID14</t>
        </is>
      </c>
    </row>
    <row r="16">
      <c r="A16" t="inlineStr">
        <is>
          <t>2022-08</t>
        </is>
      </c>
      <c r="C16" t="inlineStr">
        <is>
          <t>EV15</t>
        </is>
      </c>
      <c r="E16" t="inlineStr">
        <is>
          <t>ID15</t>
        </is>
      </c>
    </row>
    <row r="17">
      <c r="A17" t="inlineStr">
        <is>
          <t>2022-09</t>
        </is>
      </c>
      <c r="C17" t="inlineStr">
        <is>
          <t>EV16</t>
        </is>
      </c>
      <c r="E17" t="inlineStr">
        <is>
          <t>ID16</t>
        </is>
      </c>
    </row>
    <row r="18">
      <c r="A18" t="inlineStr">
        <is>
          <t>2022-10</t>
        </is>
      </c>
      <c r="C18" t="inlineStr">
        <is>
          <t>EV17</t>
        </is>
      </c>
      <c r="E18" t="inlineStr">
        <is>
          <t>ID17</t>
        </is>
      </c>
    </row>
    <row r="19">
      <c r="A19" t="inlineStr">
        <is>
          <t>2022-11</t>
        </is>
      </c>
      <c r="C19" t="inlineStr">
        <is>
          <t>EV18</t>
        </is>
      </c>
      <c r="E19" t="inlineStr">
        <is>
          <t>ID18</t>
        </is>
      </c>
    </row>
    <row r="20">
      <c r="A20" t="inlineStr">
        <is>
          <t>2022-12</t>
        </is>
      </c>
      <c r="C20" t="inlineStr">
        <is>
          <t>EV19</t>
        </is>
      </c>
      <c r="E20" t="inlineStr">
        <is>
          <t>ID19</t>
        </is>
      </c>
    </row>
    <row r="21">
      <c r="A21" t="inlineStr">
        <is>
          <t>2023</t>
        </is>
      </c>
      <c r="C21" t="inlineStr">
        <is>
          <t>EV20</t>
        </is>
      </c>
      <c r="E21" t="inlineStr">
        <is>
          <t>ID20</t>
        </is>
      </c>
    </row>
    <row r="22">
      <c r="A22" t="inlineStr">
        <is>
          <t>2023-S1</t>
        </is>
      </c>
      <c r="C22" t="inlineStr">
        <is>
          <t>EV21</t>
        </is>
      </c>
      <c r="E22" t="inlineStr">
        <is>
          <t>ID21</t>
        </is>
      </c>
    </row>
    <row r="23">
      <c r="A23" t="inlineStr">
        <is>
          <t>2023-S2</t>
        </is>
      </c>
      <c r="C23" t="inlineStr">
        <is>
          <t>EV22</t>
        </is>
      </c>
      <c r="E23" t="inlineStr">
        <is>
          <t>ID22</t>
        </is>
      </c>
    </row>
    <row r="24">
      <c r="A24" t="inlineStr">
        <is>
          <t>2023-T1</t>
        </is>
      </c>
      <c r="C24" t="inlineStr">
        <is>
          <t>EV23</t>
        </is>
      </c>
      <c r="E24" t="inlineStr">
        <is>
          <t>ID23</t>
        </is>
      </c>
    </row>
    <row r="25">
      <c r="A25" t="inlineStr">
        <is>
          <t>2023-T2</t>
        </is>
      </c>
      <c r="C25" t="inlineStr">
        <is>
          <t>EV24</t>
        </is>
      </c>
      <c r="E25" t="inlineStr">
        <is>
          <t>ID24</t>
        </is>
      </c>
    </row>
    <row r="26">
      <c r="A26" t="inlineStr">
        <is>
          <t>2023-T3</t>
        </is>
      </c>
      <c r="C26" t="inlineStr">
        <is>
          <t>EV25</t>
        </is>
      </c>
      <c r="E26" t="inlineStr">
        <is>
          <t>ID25</t>
        </is>
      </c>
    </row>
    <row r="27">
      <c r="A27" t="inlineStr">
        <is>
          <t>2023-T4</t>
        </is>
      </c>
      <c r="C27" t="inlineStr">
        <is>
          <t>EV26</t>
        </is>
      </c>
      <c r="E27" t="inlineStr">
        <is>
          <t>ID26</t>
        </is>
      </c>
    </row>
    <row r="28">
      <c r="A28" t="inlineStr">
        <is>
          <t>2023-01</t>
        </is>
      </c>
      <c r="C28" t="inlineStr">
        <is>
          <t>EV27</t>
        </is>
      </c>
      <c r="E28" t="inlineStr">
        <is>
          <t>ID27</t>
        </is>
      </c>
    </row>
    <row r="29">
      <c r="A29" t="inlineStr">
        <is>
          <t>2023-02</t>
        </is>
      </c>
      <c r="C29" t="inlineStr">
        <is>
          <t>EV28</t>
        </is>
      </c>
      <c r="E29" t="inlineStr">
        <is>
          <t>ID28</t>
        </is>
      </c>
    </row>
    <row r="30">
      <c r="A30" t="inlineStr">
        <is>
          <t>2023-03</t>
        </is>
      </c>
      <c r="C30" t="inlineStr">
        <is>
          <t>EV29</t>
        </is>
      </c>
      <c r="E30" t="inlineStr">
        <is>
          <t>ID29</t>
        </is>
      </c>
    </row>
    <row r="31">
      <c r="A31" t="inlineStr">
        <is>
          <t>2023-04</t>
        </is>
      </c>
      <c r="C31" t="inlineStr">
        <is>
          <t>EV30</t>
        </is>
      </c>
      <c r="E31" t="inlineStr">
        <is>
          <t>PS05-I1</t>
        </is>
      </c>
    </row>
    <row r="32">
      <c r="A32" t="inlineStr">
        <is>
          <t>2023-05</t>
        </is>
      </c>
      <c r="C32" t="inlineStr">
        <is>
          <t>EV31</t>
        </is>
      </c>
      <c r="E32" t="inlineStr">
        <is>
          <t>PS05-I2</t>
        </is>
      </c>
    </row>
    <row r="33">
      <c r="A33" t="inlineStr">
        <is>
          <t>2023-06</t>
        </is>
      </c>
      <c r="C33" t="inlineStr">
        <is>
          <t>EV32</t>
        </is>
      </c>
      <c r="E33" t="inlineStr">
        <is>
          <t>PS05-I3</t>
        </is>
      </c>
    </row>
    <row r="34">
      <c r="A34" t="inlineStr">
        <is>
          <t>2023-07</t>
        </is>
      </c>
      <c r="C34" t="inlineStr">
        <is>
          <t>EV33</t>
        </is>
      </c>
      <c r="E34" t="inlineStr">
        <is>
          <t>PS05-I4</t>
        </is>
      </c>
    </row>
    <row r="35">
      <c r="A35" t="inlineStr">
        <is>
          <t>2023-08</t>
        </is>
      </c>
      <c r="C35" t="inlineStr">
        <is>
          <t>EV34</t>
        </is>
      </c>
      <c r="E35" t="inlineStr">
        <is>
          <t>ME05-I1</t>
        </is>
      </c>
    </row>
    <row r="36">
      <c r="A36" t="inlineStr">
        <is>
          <t>2023-09</t>
        </is>
      </c>
      <c r="C36" t="inlineStr">
        <is>
          <t>EV35</t>
        </is>
      </c>
      <c r="E36" t="inlineStr">
        <is>
          <t>ME05-I2</t>
        </is>
      </c>
    </row>
    <row r="37">
      <c r="A37" t="inlineStr">
        <is>
          <t>2023-10</t>
        </is>
      </c>
      <c r="C37" t="inlineStr">
        <is>
          <t>EV36</t>
        </is>
      </c>
      <c r="E37" t="inlineStr">
        <is>
          <t>ME05-I3</t>
        </is>
      </c>
    </row>
    <row r="38">
      <c r="A38" t="inlineStr">
        <is>
          <t>2023-11</t>
        </is>
      </c>
      <c r="C38" t="inlineStr">
        <is>
          <t>EV37</t>
        </is>
      </c>
      <c r="E38" t="inlineStr">
        <is>
          <t>ME05-I4</t>
        </is>
      </c>
    </row>
    <row r="39">
      <c r="A39" t="inlineStr">
        <is>
          <t>2023-12</t>
        </is>
      </c>
      <c r="C39" t="inlineStr">
        <is>
          <t>EV38</t>
        </is>
      </c>
      <c r="E39" t="inlineStr">
        <is>
          <t>ME04-I1</t>
        </is>
      </c>
    </row>
    <row r="40">
      <c r="A40" t="inlineStr">
        <is>
          <t>2024</t>
        </is>
      </c>
      <c r="C40" t="inlineStr">
        <is>
          <t>EV39</t>
        </is>
      </c>
      <c r="E40" t="inlineStr">
        <is>
          <t>ME04-I2</t>
        </is>
      </c>
    </row>
    <row r="41">
      <c r="A41" t="inlineStr">
        <is>
          <t>2024-S1</t>
        </is>
      </c>
      <c r="C41" t="inlineStr">
        <is>
          <t>EV40</t>
        </is>
      </c>
      <c r="E41" t="inlineStr">
        <is>
          <t>ME04-I3</t>
        </is>
      </c>
    </row>
    <row r="42">
      <c r="A42" t="inlineStr">
        <is>
          <t>2024-S2</t>
        </is>
      </c>
      <c r="C42" t="inlineStr">
        <is>
          <t>EV41</t>
        </is>
      </c>
      <c r="E42" t="inlineStr">
        <is>
          <t>ME04-I4</t>
        </is>
      </c>
    </row>
    <row r="43">
      <c r="A43" t="inlineStr">
        <is>
          <t>2024-T1</t>
        </is>
      </c>
      <c r="C43" t="inlineStr">
        <is>
          <t>EV42</t>
        </is>
      </c>
      <c r="E43" t="inlineStr">
        <is>
          <t>PE02-I1</t>
        </is>
      </c>
    </row>
    <row r="44">
      <c r="A44" t="inlineStr">
        <is>
          <t>2024-T2</t>
        </is>
      </c>
      <c r="C44" t="inlineStr">
        <is>
          <t>EV43</t>
        </is>
      </c>
      <c r="E44" t="inlineStr">
        <is>
          <t>PE02-I2</t>
        </is>
      </c>
    </row>
    <row r="45">
      <c r="A45" t="inlineStr">
        <is>
          <t>2024-T3</t>
        </is>
      </c>
      <c r="C45" t="inlineStr">
        <is>
          <t>EV44</t>
        </is>
      </c>
      <c r="E45" t="inlineStr">
        <is>
          <t>PE02-I3</t>
        </is>
      </c>
    </row>
    <row r="46">
      <c r="A46" t="inlineStr">
        <is>
          <t>2024-T4</t>
        </is>
      </c>
      <c r="C46" t="inlineStr">
        <is>
          <t>EV45</t>
        </is>
      </c>
      <c r="E46" t="inlineStr">
        <is>
          <t>PE02-I4</t>
        </is>
      </c>
    </row>
    <row r="47">
      <c r="A47" t="inlineStr">
        <is>
          <t>2024-01</t>
        </is>
      </c>
      <c r="C47" t="inlineStr">
        <is>
          <t>EV46</t>
        </is>
      </c>
      <c r="E47" t="inlineStr">
        <is>
          <t>PE01-I1</t>
        </is>
      </c>
    </row>
    <row r="48">
      <c r="A48" t="inlineStr">
        <is>
          <t>2024-02</t>
        </is>
      </c>
      <c r="C48" t="inlineStr">
        <is>
          <t>EV47</t>
        </is>
      </c>
      <c r="E48" t="inlineStr">
        <is>
          <t>PE01-I2</t>
        </is>
      </c>
    </row>
    <row r="49">
      <c r="A49" t="inlineStr">
        <is>
          <t>2024-03</t>
        </is>
      </c>
      <c r="C49" t="inlineStr">
        <is>
          <t>EV48</t>
        </is>
      </c>
      <c r="E49" t="inlineStr">
        <is>
          <t>PE01-I3</t>
        </is>
      </c>
    </row>
    <row r="50">
      <c r="A50" t="inlineStr">
        <is>
          <t>2024-04</t>
        </is>
      </c>
      <c r="C50" t="inlineStr">
        <is>
          <t>EV49</t>
        </is>
      </c>
      <c r="E50" t="inlineStr">
        <is>
          <t>PE03-I1</t>
        </is>
      </c>
    </row>
    <row r="51">
      <c r="A51" t="inlineStr">
        <is>
          <t>2024-05</t>
        </is>
      </c>
      <c r="C51" t="inlineStr">
        <is>
          <t>EV50</t>
        </is>
      </c>
      <c r="E51" t="inlineStr">
        <is>
          <t>PE03-I2</t>
        </is>
      </c>
    </row>
    <row r="52">
      <c r="A52" t="inlineStr">
        <is>
          <t>2024-06</t>
        </is>
      </c>
      <c r="C52" t="inlineStr">
        <is>
          <t>EV51</t>
        </is>
      </c>
      <c r="E52" t="inlineStr">
        <is>
          <t>PE03-I3</t>
        </is>
      </c>
    </row>
    <row r="53">
      <c r="A53" t="inlineStr">
        <is>
          <t>2024-07</t>
        </is>
      </c>
      <c r="C53" t="inlineStr">
        <is>
          <t>EV52</t>
        </is>
      </c>
      <c r="E53" t="inlineStr">
        <is>
          <t>PE04-I1</t>
        </is>
      </c>
    </row>
    <row r="54">
      <c r="A54" t="inlineStr">
        <is>
          <t>2024-08</t>
        </is>
      </c>
      <c r="E54" t="inlineStr">
        <is>
          <t>PE04-I2</t>
        </is>
      </c>
    </row>
    <row r="55">
      <c r="A55" t="inlineStr">
        <is>
          <t>2024-09</t>
        </is>
      </c>
      <c r="E55" t="inlineStr">
        <is>
          <t>PE04-I3</t>
        </is>
      </c>
    </row>
    <row r="56">
      <c r="A56" t="inlineStr">
        <is>
          <t>2024-10</t>
        </is>
      </c>
      <c r="E56" t="inlineStr">
        <is>
          <t>PM01-I3</t>
        </is>
      </c>
    </row>
    <row r="57">
      <c r="A57" t="inlineStr">
        <is>
          <t>2024-11</t>
        </is>
      </c>
      <c r="E57" t="inlineStr">
        <is>
          <t>PM02-I2</t>
        </is>
      </c>
    </row>
    <row r="58">
      <c r="A58" t="inlineStr">
        <is>
          <t>2024-12</t>
        </is>
      </c>
      <c r="E58" t="inlineStr">
        <is>
          <t>PM02-I3</t>
        </is>
      </c>
    </row>
    <row r="59">
      <c r="A59" t="inlineStr">
        <is>
          <t>2025</t>
        </is>
      </c>
      <c r="E59" t="inlineStr">
        <is>
          <t>PM03-I4</t>
        </is>
      </c>
    </row>
    <row r="60">
      <c r="A60" t="inlineStr">
        <is>
          <t>2025-S1</t>
        </is>
      </c>
      <c r="E60" t="inlineStr">
        <is>
          <t>PM04-I1</t>
        </is>
      </c>
    </row>
    <row r="61">
      <c r="A61" t="inlineStr">
        <is>
          <t>2025-S2</t>
        </is>
      </c>
      <c r="E61" t="inlineStr">
        <is>
          <t>PM04-I2</t>
        </is>
      </c>
    </row>
    <row r="62">
      <c r="A62" t="inlineStr">
        <is>
          <t>2025-T1</t>
        </is>
      </c>
      <c r="E62" t="inlineStr">
        <is>
          <t>PM04-I3</t>
        </is>
      </c>
    </row>
    <row r="63">
      <c r="A63" t="inlineStr">
        <is>
          <t>2025-T2</t>
        </is>
      </c>
      <c r="E63" t="inlineStr">
        <is>
          <t>PM04-I4</t>
        </is>
      </c>
    </row>
    <row r="64">
      <c r="A64" t="inlineStr">
        <is>
          <t>2025-T3</t>
        </is>
      </c>
      <c r="E64" t="inlineStr">
        <is>
          <t>PM05-I3</t>
        </is>
      </c>
    </row>
    <row r="65">
      <c r="A65" t="inlineStr">
        <is>
          <t>2025-T4</t>
        </is>
      </c>
      <c r="E65" t="inlineStr">
        <is>
          <t>PM05-I4</t>
        </is>
      </c>
    </row>
    <row r="66">
      <c r="A66" t="inlineStr">
        <is>
          <t>2025-01</t>
        </is>
      </c>
      <c r="E66" t="inlineStr">
        <is>
          <t>PM06-I1</t>
        </is>
      </c>
    </row>
    <row r="67">
      <c r="A67" t="inlineStr">
        <is>
          <t>2025-02</t>
        </is>
      </c>
      <c r="E67" t="inlineStr">
        <is>
          <t>PM06-I2</t>
        </is>
      </c>
    </row>
    <row r="68">
      <c r="A68" t="inlineStr">
        <is>
          <t>2025-03</t>
        </is>
      </c>
      <c r="E68" t="inlineStr">
        <is>
          <t>PM06-I3</t>
        </is>
      </c>
    </row>
    <row r="69">
      <c r="A69" t="inlineStr">
        <is>
          <t>2025-04</t>
        </is>
      </c>
      <c r="E69" t="inlineStr">
        <is>
          <t>PM07-I1</t>
        </is>
      </c>
    </row>
    <row r="70">
      <c r="A70" t="inlineStr">
        <is>
          <t>2025-05</t>
        </is>
      </c>
      <c r="E70" t="inlineStr">
        <is>
          <t>PM07-I2</t>
        </is>
      </c>
    </row>
    <row r="71">
      <c r="A71" t="inlineStr">
        <is>
          <t>2025-06</t>
        </is>
      </c>
      <c r="E71" t="inlineStr">
        <is>
          <t>PM07-I3</t>
        </is>
      </c>
    </row>
    <row r="72">
      <c r="A72" t="inlineStr">
        <is>
          <t>2025-07</t>
        </is>
      </c>
      <c r="E72" t="inlineStr">
        <is>
          <t>ME01-I1</t>
        </is>
      </c>
    </row>
    <row r="73">
      <c r="A73" t="inlineStr">
        <is>
          <t>2025-08</t>
        </is>
      </c>
      <c r="E73" t="inlineStr">
        <is>
          <t>ME01-I2</t>
        </is>
      </c>
    </row>
    <row r="74">
      <c r="A74" t="inlineStr">
        <is>
          <t>2025-09</t>
        </is>
      </c>
      <c r="E74" t="inlineStr">
        <is>
          <t>ME01-I3</t>
        </is>
      </c>
    </row>
    <row r="75">
      <c r="A75" t="inlineStr">
        <is>
          <t>2025-10</t>
        </is>
      </c>
      <c r="E75" t="inlineStr">
        <is>
          <t>ME02-I1</t>
        </is>
      </c>
    </row>
    <row r="76">
      <c r="A76" t="inlineStr">
        <is>
          <t>2025-11</t>
        </is>
      </c>
      <c r="E76" t="inlineStr">
        <is>
          <t>ME02-I3</t>
        </is>
      </c>
    </row>
    <row r="77">
      <c r="A77" t="inlineStr">
        <is>
          <t>2025-12</t>
        </is>
      </c>
      <c r="E77" t="inlineStr">
        <is>
          <t>ME03-I1</t>
        </is>
      </c>
    </row>
    <row r="78">
      <c r="A78" t="inlineStr">
        <is>
          <t>2026</t>
        </is>
      </c>
      <c r="E78" t="inlineStr">
        <is>
          <t>ME03-I2</t>
        </is>
      </c>
    </row>
    <row r="79">
      <c r="A79" t="inlineStr">
        <is>
          <t>2026-S1</t>
        </is>
      </c>
      <c r="E79" t="inlineStr">
        <is>
          <t>ME03-I3</t>
        </is>
      </c>
    </row>
    <row r="80">
      <c r="A80" t="inlineStr">
        <is>
          <t>2026-S2</t>
        </is>
      </c>
      <c r="E80" t="inlineStr">
        <is>
          <t>ME06-I1</t>
        </is>
      </c>
    </row>
    <row r="81">
      <c r="A81" t="inlineStr">
        <is>
          <t>2026-T1</t>
        </is>
      </c>
      <c r="E81" t="inlineStr">
        <is>
          <t>ME06-I2</t>
        </is>
      </c>
    </row>
    <row r="82">
      <c r="A82" t="inlineStr">
        <is>
          <t>2026-T2</t>
        </is>
      </c>
      <c r="E82" t="inlineStr">
        <is>
          <t>PS02-I1</t>
        </is>
      </c>
    </row>
    <row r="83">
      <c r="A83" t="inlineStr">
        <is>
          <t>2026-T3</t>
        </is>
      </c>
      <c r="E83" t="inlineStr">
        <is>
          <t>PS02-I2</t>
        </is>
      </c>
    </row>
    <row r="84">
      <c r="A84" t="inlineStr">
        <is>
          <t>2026-T4</t>
        </is>
      </c>
      <c r="E84" t="inlineStr">
        <is>
          <t>PS02-I3</t>
        </is>
      </c>
    </row>
    <row r="85">
      <c r="A85" t="inlineStr">
        <is>
          <t>2026-01</t>
        </is>
      </c>
      <c r="E85" t="inlineStr">
        <is>
          <t>PS03-I1</t>
        </is>
      </c>
    </row>
    <row r="86">
      <c r="A86" t="inlineStr">
        <is>
          <t>2026-02</t>
        </is>
      </c>
      <c r="E86" t="inlineStr">
        <is>
          <t>PS03-I2</t>
        </is>
      </c>
    </row>
    <row r="87">
      <c r="A87" t="inlineStr">
        <is>
          <t>2026-03</t>
        </is>
      </c>
      <c r="E87" t="inlineStr">
        <is>
          <t>PS04-I1</t>
        </is>
      </c>
    </row>
    <row r="88">
      <c r="A88" t="inlineStr">
        <is>
          <t>2026-04</t>
        </is>
      </c>
      <c r="E88" t="inlineStr">
        <is>
          <t>PS04-I3</t>
        </is>
      </c>
    </row>
    <row r="89">
      <c r="A89" t="inlineStr">
        <is>
          <t>2026-05</t>
        </is>
      </c>
      <c r="E89" t="inlineStr">
        <is>
          <t>PS06-I1</t>
        </is>
      </c>
    </row>
    <row r="90">
      <c r="A90" t="inlineStr">
        <is>
          <t>2026-06</t>
        </is>
      </c>
      <c r="E90" t="inlineStr">
        <is>
          <t>PS06-I2</t>
        </is>
      </c>
    </row>
    <row r="91">
      <c r="A91" t="inlineStr">
        <is>
          <t>2026-07</t>
        </is>
      </c>
      <c r="E91" t="inlineStr">
        <is>
          <t>PS06-I3</t>
        </is>
      </c>
    </row>
    <row r="92">
      <c r="A92" t="inlineStr">
        <is>
          <t>2026-08</t>
        </is>
      </c>
      <c r="E92" t="inlineStr">
        <is>
          <t>PM09-P1</t>
        </is>
      </c>
    </row>
    <row r="93">
      <c r="A93" t="inlineStr">
        <is>
          <t>2026-09</t>
        </is>
      </c>
      <c r="E93" t="inlineStr">
        <is>
          <t>PM09-P2</t>
        </is>
      </c>
    </row>
    <row r="94">
      <c r="A94" t="inlineStr">
        <is>
          <t>2026-10</t>
        </is>
      </c>
      <c r="E94" t="inlineStr">
        <is>
          <t>PM10-P5</t>
        </is>
      </c>
    </row>
    <row r="95">
      <c r="A95" t="inlineStr">
        <is>
          <t>2026-11</t>
        </is>
      </c>
      <c r="E95" t="inlineStr">
        <is>
          <t>PE01-P6</t>
        </is>
      </c>
    </row>
    <row r="96">
      <c r="A96" t="inlineStr">
        <is>
          <t>2026-12</t>
        </is>
      </c>
      <c r="E96" t="inlineStr">
        <is>
          <t>PE01-P7</t>
        </is>
      </c>
    </row>
    <row r="97">
      <c r="A97" t="inlineStr">
        <is>
          <t>2027</t>
        </is>
      </c>
      <c r="E97" t="inlineStr">
        <is>
          <t>PE01-P8</t>
        </is>
      </c>
    </row>
    <row r="98">
      <c r="A98" t="inlineStr">
        <is>
          <t>2027-S1</t>
        </is>
      </c>
      <c r="E98" t="inlineStr">
        <is>
          <t>PEFM-OE.01</t>
        </is>
      </c>
    </row>
    <row r="99">
      <c r="A99" t="inlineStr">
        <is>
          <t>2027-S2</t>
        </is>
      </c>
      <c r="E99" t="inlineStr">
        <is>
          <t>PEFM-AE.01.01</t>
        </is>
      </c>
    </row>
    <row r="100">
      <c r="A100" t="inlineStr">
        <is>
          <t>2027-T1</t>
        </is>
      </c>
      <c r="E100" t="inlineStr">
        <is>
          <t>PEFM-AE.01.02</t>
        </is>
      </c>
    </row>
    <row r="101">
      <c r="A101" t="inlineStr">
        <is>
          <t>2027-T2</t>
        </is>
      </c>
      <c r="E101" t="inlineStr">
        <is>
          <t>PEFM-AE.01.03-1</t>
        </is>
      </c>
    </row>
    <row r="102">
      <c r="A102" t="inlineStr">
        <is>
          <t>2027-T3</t>
        </is>
      </c>
      <c r="E102" t="inlineStr">
        <is>
          <t>PEFM-AE.01.03-2</t>
        </is>
      </c>
    </row>
    <row r="103">
      <c r="A103" t="inlineStr">
        <is>
          <t>2027-T4</t>
        </is>
      </c>
      <c r="E103" t="inlineStr">
        <is>
          <t>PEFM-AE.01.04-1</t>
        </is>
      </c>
    </row>
    <row r="104">
      <c r="A104" t="inlineStr">
        <is>
          <t>2027-01</t>
        </is>
      </c>
      <c r="E104" t="inlineStr">
        <is>
          <t>PEFM-AE.01.04-2</t>
        </is>
      </c>
    </row>
    <row r="105">
      <c r="A105" t="inlineStr">
        <is>
          <t>2027-02</t>
        </is>
      </c>
      <c r="E105" t="inlineStr">
        <is>
          <t>PEFM-AE.01.05-1</t>
        </is>
      </c>
    </row>
    <row r="106">
      <c r="A106" t="inlineStr">
        <is>
          <t>2027-03</t>
        </is>
      </c>
      <c r="E106" t="inlineStr">
        <is>
          <t>PEFM-AE.01.05-2</t>
        </is>
      </c>
    </row>
    <row r="107">
      <c r="A107" t="inlineStr">
        <is>
          <t>2027-04</t>
        </is>
      </c>
      <c r="E107" t="inlineStr">
        <is>
          <t>PEFM-AE.01.06-1</t>
        </is>
      </c>
    </row>
    <row r="108">
      <c r="A108" t="inlineStr">
        <is>
          <t>2027-05</t>
        </is>
      </c>
      <c r="E108" t="inlineStr">
        <is>
          <t>PEFM-AE.01.06-2</t>
        </is>
      </c>
    </row>
    <row r="109">
      <c r="A109" t="inlineStr">
        <is>
          <t>2027-06</t>
        </is>
      </c>
      <c r="E109" t="inlineStr">
        <is>
          <t>PEFM-OE.02</t>
        </is>
      </c>
    </row>
    <row r="110">
      <c r="A110" t="inlineStr">
        <is>
          <t>2027-07</t>
        </is>
      </c>
      <c r="E110" t="inlineStr">
        <is>
          <t>PEFM-AE.02.01</t>
        </is>
      </c>
    </row>
    <row r="111">
      <c r="A111" t="inlineStr">
        <is>
          <t>2027-08</t>
        </is>
      </c>
      <c r="E111" t="inlineStr">
        <is>
          <t>PEFM-AE.02.02</t>
        </is>
      </c>
    </row>
    <row r="112">
      <c r="A112" t="inlineStr">
        <is>
          <t>2027-09</t>
        </is>
      </c>
      <c r="E112" t="inlineStr">
        <is>
          <t>PEFM-AE.02.03-1</t>
        </is>
      </c>
    </row>
    <row r="113">
      <c r="A113" t="inlineStr">
        <is>
          <t>2027-10</t>
        </is>
      </c>
      <c r="E113" t="inlineStr">
        <is>
          <t>PEFM-AE.02.03-2</t>
        </is>
      </c>
    </row>
    <row r="114">
      <c r="A114" t="inlineStr">
        <is>
          <t>2027-11</t>
        </is>
      </c>
      <c r="E114" t="inlineStr">
        <is>
          <t>PEFM-OE.03-1</t>
        </is>
      </c>
    </row>
    <row r="115">
      <c r="A115" t="inlineStr">
        <is>
          <t>2027-12</t>
        </is>
      </c>
      <c r="E115" t="inlineStr">
        <is>
          <t>PEFM-OE.03-2</t>
        </is>
      </c>
    </row>
    <row r="116">
      <c r="A116" t="inlineStr">
        <is>
          <t>2028</t>
        </is>
      </c>
      <c r="E116" t="inlineStr">
        <is>
          <t>PEFM-AE.03.01-1</t>
        </is>
      </c>
    </row>
    <row r="117">
      <c r="A117" t="inlineStr">
        <is>
          <t>2028-S1</t>
        </is>
      </c>
      <c r="E117" t="inlineStr">
        <is>
          <t>PEFM-AE.03.01-2</t>
        </is>
      </c>
    </row>
    <row r="118">
      <c r="A118" t="inlineStr">
        <is>
          <t>2028-S2</t>
        </is>
      </c>
      <c r="E118" t="inlineStr">
        <is>
          <t>PEFM-AE.03.02-1</t>
        </is>
      </c>
    </row>
    <row r="119">
      <c r="A119" t="inlineStr">
        <is>
          <t>2028-T1</t>
        </is>
      </c>
      <c r="E119" t="inlineStr">
        <is>
          <t>PEFM-AE.03.02-2</t>
        </is>
      </c>
    </row>
    <row r="120">
      <c r="A120" t="inlineStr">
        <is>
          <t>2028-T2</t>
        </is>
      </c>
      <c r="E120" t="inlineStr">
        <is>
          <t>PEFM-AE.03.03-1</t>
        </is>
      </c>
    </row>
    <row r="121">
      <c r="A121" t="inlineStr">
        <is>
          <t>2028-T3</t>
        </is>
      </c>
      <c r="E121" t="inlineStr">
        <is>
          <t>PEFM-AE.03.03-2</t>
        </is>
      </c>
    </row>
    <row r="122">
      <c r="A122" t="inlineStr">
        <is>
          <t>2028-T4</t>
        </is>
      </c>
      <c r="E122" t="inlineStr">
        <is>
          <t>PEFM-AE.03.04</t>
        </is>
      </c>
    </row>
    <row r="123">
      <c r="A123" t="inlineStr">
        <is>
          <t>2028-01</t>
        </is>
      </c>
      <c r="E123" t="inlineStr">
        <is>
          <t>PEFM-AE.03.05</t>
        </is>
      </c>
    </row>
    <row r="124">
      <c r="A124" t="inlineStr">
        <is>
          <t>2028-02</t>
        </is>
      </c>
      <c r="E124" t="inlineStr">
        <is>
          <t>PEFM-OE.04</t>
        </is>
      </c>
    </row>
    <row r="125">
      <c r="A125" t="inlineStr">
        <is>
          <t>2028-03</t>
        </is>
      </c>
      <c r="E125" t="inlineStr">
        <is>
          <t>PEFM-AE.04.01</t>
        </is>
      </c>
    </row>
    <row r="126">
      <c r="A126" t="inlineStr">
        <is>
          <t>2028-04</t>
        </is>
      </c>
      <c r="E126" t="inlineStr">
        <is>
          <t>PEFM-AE.04.02</t>
        </is>
      </c>
    </row>
    <row r="127">
      <c r="A127" t="inlineStr">
        <is>
          <t>2028-05</t>
        </is>
      </c>
    </row>
    <row r="128">
      <c r="A128" t="inlineStr">
        <is>
          <t>2028-06</t>
        </is>
      </c>
    </row>
    <row r="129">
      <c r="A129" t="inlineStr">
        <is>
          <t>2028-07</t>
        </is>
      </c>
    </row>
    <row r="130">
      <c r="A130" t="inlineStr">
        <is>
          <t>2028-08</t>
        </is>
      </c>
    </row>
    <row r="131">
      <c r="A131" t="inlineStr">
        <is>
          <t>2028-09</t>
        </is>
      </c>
    </row>
    <row r="132">
      <c r="A132" t="inlineStr">
        <is>
          <t>2028-10</t>
        </is>
      </c>
    </row>
    <row r="133">
      <c r="A133" t="inlineStr">
        <is>
          <t>2028-11</t>
        </is>
      </c>
    </row>
    <row r="134">
      <c r="A134" t="inlineStr">
        <is>
          <t>2028-12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ev_id</t>
        </is>
      </c>
      <c r="B1" t="inlineStr">
        <is>
          <t>estandar</t>
        </is>
      </c>
      <c r="C1" t="inlineStr">
        <is>
          <t>descripcion</t>
        </is>
      </c>
    </row>
    <row r="2">
      <c r="A2" t="inlineStr">
        <is>
          <t>EV1</t>
        </is>
      </c>
      <c r="B2" t="inlineStr">
        <is>
          <t>E1</t>
        </is>
      </c>
      <c r="C2" t="inlineStr">
        <is>
          <t>Documento(s) que define(n) la organización interna para la gestión del programa de estudios.</t>
        </is>
      </c>
    </row>
    <row r="3">
      <c r="A3" t="inlineStr">
        <is>
          <t>EV2</t>
        </is>
      </c>
      <c r="B3" t="inlineStr">
        <is>
          <t>E1</t>
        </is>
      </c>
      <c r="C3" t="inlineStr">
        <is>
          <t>Hoja de vida del cuerpo directivo a cargo de la gestión del programa.</t>
        </is>
      </c>
    </row>
    <row r="4">
      <c r="A4" t="inlineStr">
        <is>
          <t>EV3</t>
        </is>
      </c>
      <c r="B4" t="inlineStr">
        <is>
          <t>E1</t>
        </is>
      </c>
      <c r="C4" t="inlineStr">
        <is>
          <t>Documento que contiene los objetivos académicos del programa.</t>
        </is>
      </c>
    </row>
    <row r="5">
      <c r="A5" t="inlineStr">
        <is>
          <t>EV4</t>
        </is>
      </c>
      <c r="B5" t="inlineStr">
        <is>
          <t>E1</t>
        </is>
      </c>
      <c r="C5" t="inlineStr">
        <is>
          <t>Publicación de los objetivos académicos, accesible a las partes interesadas.</t>
        </is>
      </c>
    </row>
    <row r="6">
      <c r="A6" t="inlineStr">
        <is>
          <t>EV5</t>
        </is>
      </c>
      <c r="B6" t="inlineStr">
        <is>
          <t>E1</t>
        </is>
      </c>
      <c r="C6" t="inlineStr">
        <is>
          <t>Planes estratégicos y operativos vigentes de los dos años anteriores a la autoevaluación.</t>
        </is>
      </c>
    </row>
    <row r="7">
      <c r="A7" t="inlineStr">
        <is>
          <t>EV6</t>
        </is>
      </c>
      <c r="B7" t="inlineStr">
        <is>
          <t>E1</t>
        </is>
      </c>
      <c r="C7" t="inlineStr">
        <is>
          <t>Informes de evaluación de los planes estratégicos y operativos.</t>
        </is>
      </c>
    </row>
    <row r="8">
      <c r="A8" t="inlineStr">
        <is>
          <t>EV7</t>
        </is>
      </c>
      <c r="B8" t="inlineStr">
        <is>
          <t>E1</t>
        </is>
      </c>
      <c r="C8" t="inlineStr">
        <is>
          <t>Informes sobre quejas, reclamos y denuncias presentadas y las atenciones o soluciones dadas.</t>
        </is>
      </c>
    </row>
    <row r="9">
      <c r="A9" t="inlineStr">
        <is>
          <t>EV8</t>
        </is>
      </c>
      <c r="B9" t="inlineStr">
        <is>
          <t>E2</t>
        </is>
      </c>
      <c r="C9" t="inlineStr">
        <is>
          <t>Todos los documentos que el criterio 2.1 enuncia como componentes del currículo y su fundamentación.</t>
        </is>
      </c>
    </row>
    <row r="10">
      <c r="A10" t="inlineStr">
        <is>
          <t>EV9</t>
        </is>
      </c>
      <c r="B10" t="inlineStr">
        <is>
          <t>E2</t>
        </is>
      </c>
      <c r="C10" t="inlineStr">
        <is>
          <t>Sílabos de las asignaturas.</t>
        </is>
      </c>
    </row>
    <row r="11">
      <c r="A11" t="inlineStr">
        <is>
          <t>EV10</t>
        </is>
      </c>
      <c r="B11" t="inlineStr">
        <is>
          <t>E2</t>
        </is>
      </c>
      <c r="C11" t="inlineStr">
        <is>
          <t>Informe semestral de cumplimiento de sílabos: procedimiento de verificación, porcentajes y acciones.</t>
        </is>
      </c>
    </row>
    <row r="12">
      <c r="A12" t="inlineStr">
        <is>
          <t>EV11</t>
        </is>
      </c>
      <c r="B12" t="inlineStr">
        <is>
          <t>E2</t>
        </is>
      </c>
      <c r="C12" t="inlineStr">
        <is>
          <t>Documento(s) con el procedimiento de convalidación o reconocimiento de créditos.</t>
        </is>
      </c>
    </row>
    <row r="13">
      <c r="A13" t="inlineStr">
        <is>
          <t>EV12</t>
        </is>
      </c>
      <c r="B13" t="inlineStr">
        <is>
          <t>E3</t>
        </is>
      </c>
      <c r="C13" t="inlineStr">
        <is>
          <t>Documentos que norman la evaluación de la calidad de la enseñanza e informes de aplicación y resultados (criterio 3.1).</t>
        </is>
      </c>
    </row>
    <row r="14">
      <c r="A14" t="inlineStr">
        <is>
          <t>EV13</t>
        </is>
      </c>
      <c r="B14" t="inlineStr">
        <is>
          <t>E3</t>
        </is>
      </c>
      <c r="C14" t="inlineStr">
        <is>
          <t>Documento(s) que regulan la evaluación del estudiante (criterios 3.2 y 3.3) y normas de tesis, ética, integridad y control de plagio.</t>
        </is>
      </c>
    </row>
    <row r="15">
      <c r="A15" t="inlineStr">
        <is>
          <t>EV14</t>
        </is>
      </c>
      <c r="B15" t="inlineStr">
        <is>
          <t>E3</t>
        </is>
      </c>
      <c r="C15" t="inlineStr">
        <is>
          <t>Documento(s) que norman la asesoría y tutoría e informe de prácticas de los dos últimos semestres.</t>
        </is>
      </c>
    </row>
    <row r="16">
      <c r="A16" t="inlineStr">
        <is>
          <t>EV15</t>
        </is>
      </c>
      <c r="B16" t="inlineStr">
        <is>
          <t>E3</t>
        </is>
      </c>
      <c r="C16" t="inlineStr">
        <is>
          <t>Documento(s) que norman las prácticas preprofesionales y su supervisión, con información de aplicación y proporción de estudiantes participantes.</t>
        </is>
      </c>
    </row>
    <row r="17">
      <c r="A17" t="inlineStr">
        <is>
          <t>EV16</t>
        </is>
      </c>
      <c r="B17" t="inlineStr">
        <is>
          <t>E3</t>
        </is>
      </c>
      <c r="C17" t="inlineStr">
        <is>
          <t>Normas sobre los requerimientos del criterio 3.7 e informe de incidencias y acciones de los dos últimos semestres.</t>
        </is>
      </c>
    </row>
    <row r="18">
      <c r="A18" t="inlineStr">
        <is>
          <t>EV17</t>
        </is>
      </c>
      <c r="B18" t="inlineStr">
        <is>
          <t>E3</t>
        </is>
      </c>
      <c r="C18" t="inlineStr">
        <is>
          <t>Informe de evolución del desempeño de los estudiantes con los indicadores ID10 e ID28 (cuatro semestres o dos años).</t>
        </is>
      </c>
    </row>
    <row r="19">
      <c r="A19" t="inlineStr">
        <is>
          <t>EV18</t>
        </is>
      </c>
      <c r="B19" t="inlineStr">
        <is>
          <t>E3</t>
        </is>
      </c>
      <c r="C19" t="inlineStr">
        <is>
          <t>Resultados de los programas o actividades de asesoría y tutoría de los dos últimos semestres.</t>
        </is>
      </c>
    </row>
    <row r="20">
      <c r="A20" t="inlineStr">
        <is>
          <t>EV19</t>
        </is>
      </c>
      <c r="B20" t="inlineStr">
        <is>
          <t>E3</t>
        </is>
      </c>
      <c r="C20" t="inlineStr">
        <is>
          <t>Relación de tesis y trabajos de suficiencia profesional sustentados en los dos últimos años, disponibles en el repositorio.</t>
        </is>
      </c>
    </row>
    <row r="21">
      <c r="A21" t="inlineStr">
        <is>
          <t>EV20</t>
        </is>
      </c>
      <c r="B21" t="inlineStr">
        <is>
          <t>E4</t>
        </is>
      </c>
      <c r="C21" t="inlineStr">
        <is>
          <t>Reglamento de personal docente o documentos que norman la gestión docente (convocatoria, selección, vinculación, permanencia, evaluación, promoción, desvinculación).</t>
        </is>
      </c>
    </row>
    <row r="22">
      <c r="A22" t="inlineStr">
        <is>
          <t>EV21</t>
        </is>
      </c>
      <c r="B22" t="inlineStr">
        <is>
          <t>E4</t>
        </is>
      </c>
      <c r="C22" t="inlineStr">
        <is>
          <t>Formato C9 de la SUNEDU o similar, con la relación de asignaturas de cada docente en los dos últimos años.</t>
        </is>
      </c>
    </row>
    <row r="23">
      <c r="A23" t="inlineStr">
        <is>
          <t>EV22</t>
        </is>
      </c>
      <c r="B23" t="inlineStr">
        <is>
          <t>E4</t>
        </is>
      </c>
      <c r="C23" t="inlineStr">
        <is>
          <t>Currículum vitae documentado de los docentes.</t>
        </is>
      </c>
    </row>
    <row r="24">
      <c r="A24" t="inlineStr">
        <is>
          <t>EV23</t>
        </is>
      </c>
      <c r="B24" t="inlineStr">
        <is>
          <t>E4</t>
        </is>
      </c>
      <c r="C24" t="inlineStr">
        <is>
          <t>Documentos que orientan y regulan la evaluación de desempeño docente, incluidos los instrumentos.</t>
        </is>
      </c>
    </row>
    <row r="25">
      <c r="A25" t="inlineStr">
        <is>
          <t>EV24</t>
        </is>
      </c>
      <c r="B25" t="inlineStr">
        <is>
          <t>E4</t>
        </is>
      </c>
      <c r="C25" t="inlineStr">
        <is>
          <t>Informe de pertinencia de la formación y experiencia de cada docente con sus asignaturas (criterios 4.1 a 4.3).</t>
        </is>
      </c>
    </row>
    <row r="26">
      <c r="A26" t="inlineStr">
        <is>
          <t>EV25</t>
        </is>
      </c>
      <c r="B26" t="inlineStr">
        <is>
          <t>E4</t>
        </is>
      </c>
      <c r="C26" t="inlineStr">
        <is>
          <t>Informe y documentación de los resultados de evaluación de desempeño docente de los dos últimos años.</t>
        </is>
      </c>
    </row>
    <row r="27">
      <c r="A27" t="inlineStr">
        <is>
          <t>EV26</t>
        </is>
      </c>
      <c r="B27" t="inlineStr">
        <is>
          <t>E4</t>
        </is>
      </c>
      <c r="C27" t="inlineStr">
        <is>
          <t>Plan de capacitación del programa, facultad o institución (criterio 4.5).</t>
        </is>
      </c>
    </row>
    <row r="28">
      <c r="A28" t="inlineStr">
        <is>
          <t>EV27</t>
        </is>
      </c>
      <c r="B28" t="inlineStr">
        <is>
          <t>E4</t>
        </is>
      </c>
      <c r="C28" t="inlineStr">
        <is>
          <t>Informe y documentación de los resultados de las capacitaciones docentes de los dos últimos años (criterio 4.5).</t>
        </is>
      </c>
    </row>
    <row r="29">
      <c r="A29" t="inlineStr">
        <is>
          <t>EV28</t>
        </is>
      </c>
      <c r="B29" t="inlineStr">
        <is>
          <t>E4</t>
        </is>
      </c>
      <c r="C29" t="inlineStr">
        <is>
          <t>Informe y documentación de la producción científica, de innovación o de creación cultural y artística de los docentes.</t>
        </is>
      </c>
    </row>
    <row r="30">
      <c r="A30" t="inlineStr">
        <is>
          <t>EV29</t>
        </is>
      </c>
      <c r="B30" t="inlineStr">
        <is>
          <t>E4</t>
        </is>
      </c>
      <c r="C30" t="inlineStr">
        <is>
          <t>Información sobre experiencias académicas y trabajos colaborativos de los docentes (criterio 4.6).</t>
        </is>
      </c>
    </row>
    <row r="31">
      <c r="A31" t="inlineStr">
        <is>
          <t>EV30</t>
        </is>
      </c>
      <c r="B31" t="inlineStr">
        <is>
          <t>E5</t>
        </is>
      </c>
      <c r="C31" t="inlineStr">
        <is>
          <t>Informe y documentación de infraestructura, equipamiento, mobiliario y TIC usados en la formación, con su coherencia con el currículo (criterios 5.1 a 5.3).</t>
        </is>
      </c>
    </row>
    <row r="32">
      <c r="A32" t="inlineStr">
        <is>
          <t>EV31</t>
        </is>
      </c>
      <c r="B32" t="inlineStr">
        <is>
          <t>E5</t>
        </is>
      </c>
      <c r="C32" t="inlineStr">
        <is>
          <t>Protocolos, guías, manuales u otros medios referidos en el criterio 5.4.</t>
        </is>
      </c>
    </row>
    <row r="33">
      <c r="A33" t="inlineStr">
        <is>
          <t>EV32</t>
        </is>
      </c>
      <c r="B33" t="inlineStr">
        <is>
          <t>E5</t>
        </is>
      </c>
      <c r="C33" t="inlineStr">
        <is>
          <t>Suscripciones a bases de datos y catálogos de biblioteca y hemeroteca accesibles (criterio 5.5).</t>
        </is>
      </c>
    </row>
    <row r="34">
      <c r="A34" t="inlineStr">
        <is>
          <t>EV33</t>
        </is>
      </c>
      <c r="B34" t="inlineStr">
        <is>
          <t>E5</t>
        </is>
      </c>
      <c r="C34" t="inlineStr">
        <is>
          <t>Plan de mantenimiento de infraestructura y equipamiento e información de su cumplimiento (criterio 5.6).</t>
        </is>
      </c>
    </row>
    <row r="35">
      <c r="A35" t="inlineStr">
        <is>
          <t>EV34</t>
        </is>
      </c>
      <c r="B35" t="inlineStr">
        <is>
          <t>E6</t>
        </is>
      </c>
      <c r="C35" t="inlineStr">
        <is>
          <t>Informe de medición del impacto de la formación en los egresados, con ID20, ID26 e ID27.</t>
        </is>
      </c>
    </row>
    <row r="36">
      <c r="A36" t="inlineStr">
        <is>
          <t>EV35</t>
        </is>
      </c>
      <c r="B36" t="inlineStr">
        <is>
          <t>E6</t>
        </is>
      </c>
      <c r="C36" t="inlineStr">
        <is>
          <t>Informe con la opinión de empleadores y otras partes interesadas, con ID29.</t>
        </is>
      </c>
    </row>
    <row r="37">
      <c r="A37" t="inlineStr">
        <is>
          <t>EV36</t>
        </is>
      </c>
      <c r="B37" t="inlineStr">
        <is>
          <t>E6</t>
        </is>
      </c>
      <c r="C37" t="inlineStr">
        <is>
          <t>Informe y evidencias de acciones de mejora implementadas en la formación en los dos últimos años.</t>
        </is>
      </c>
    </row>
    <row r="38">
      <c r="A38" t="inlineStr">
        <is>
          <t>EV37</t>
        </is>
      </c>
      <c r="B38" t="inlineStr">
        <is>
          <t>E7</t>
        </is>
      </c>
      <c r="C38" t="inlineStr">
        <is>
          <t>Informe y documentación de resultados de los servicios de bienestar y satisfacción del estudiante.</t>
        </is>
      </c>
    </row>
    <row r="39">
      <c r="A39" t="inlineStr">
        <is>
          <t>EV38</t>
        </is>
      </c>
      <c r="B39" t="inlineStr">
        <is>
          <t>E7</t>
        </is>
      </c>
      <c r="C39" t="inlineStr">
        <is>
          <t>Informe y documentación de resultados de los servicios de apoyo (criterio 7.2) y su impacto en el estudiante.</t>
        </is>
      </c>
    </row>
    <row r="40">
      <c r="A40" t="inlineStr">
        <is>
          <t>EV39</t>
        </is>
      </c>
      <c r="B40" t="inlineStr">
        <is>
          <t>E7</t>
        </is>
      </c>
      <c r="C40" t="inlineStr">
        <is>
          <t>Informe y documentación de acciones o planes de mejora implementados a partir de los resultados.</t>
        </is>
      </c>
    </row>
    <row r="41">
      <c r="A41" t="inlineStr">
        <is>
          <t>EV40</t>
        </is>
      </c>
      <c r="B41" t="inlineStr">
        <is>
          <t>E8</t>
        </is>
      </c>
      <c r="C41" t="inlineStr">
        <is>
          <t>Documento(s) que orientan y regulan el recojo y análisis de la información (criterio 8.1).</t>
        </is>
      </c>
    </row>
    <row r="42">
      <c r="A42" t="inlineStr">
        <is>
          <t>EV41</t>
        </is>
      </c>
      <c r="B42" t="inlineStr">
        <is>
          <t>E8</t>
        </is>
      </c>
      <c r="C42" t="inlineStr">
        <is>
          <t>Resultados de satisfacción de los estudiantes con la gestión y el desarrollo académico y administrativo del programa (ID1 a ID5, ID7, ID8).</t>
        </is>
      </c>
    </row>
    <row r="43">
      <c r="A43" t="inlineStr">
        <is>
          <t>EV42</t>
        </is>
      </c>
      <c r="B43" t="inlineStr">
        <is>
          <t>E8</t>
        </is>
      </c>
      <c r="C43" t="inlineStr">
        <is>
          <t>Resultados de satisfacción de los empleadores con el desempeño de los egresados (ID29).</t>
        </is>
      </c>
    </row>
    <row r="44">
      <c r="A44" t="inlineStr">
        <is>
          <t>EV43</t>
        </is>
      </c>
      <c r="B44" t="inlineStr">
        <is>
          <t>E8</t>
        </is>
      </c>
      <c r="C44" t="inlineStr">
        <is>
          <t>Resultados de satisfacción de los docentes con la gestión del programa y con el fortalecimiento de capacidades (ID12, ID16, ID17, ID18).</t>
        </is>
      </c>
    </row>
    <row r="45">
      <c r="A45" t="inlineStr">
        <is>
          <t>EV44</t>
        </is>
      </c>
      <c r="B45" t="inlineStr">
        <is>
          <t>E8</t>
        </is>
      </c>
      <c r="C45" t="inlineStr">
        <is>
          <t>Resultados de satisfacción de los egresados con la gestión del programa y el impacto de la formación (ID20 a ID24).</t>
        </is>
      </c>
    </row>
    <row r="46">
      <c r="A46" t="inlineStr">
        <is>
          <t>EV45</t>
        </is>
      </c>
      <c r="B46" t="inlineStr">
        <is>
          <t>E9</t>
        </is>
      </c>
      <c r="C46" t="inlineStr">
        <is>
          <t>Documentos que norman la revisión del currículo.</t>
        </is>
      </c>
    </row>
    <row r="47">
      <c r="A47" t="inlineStr">
        <is>
          <t>EV46</t>
        </is>
      </c>
      <c r="B47" t="inlineStr">
        <is>
          <t>E9</t>
        </is>
      </c>
      <c r="C47" t="inlineStr">
        <is>
          <t>Informe sobre la ejecución de los procesos de actualización curricular y documentación sustentadora.</t>
        </is>
      </c>
    </row>
    <row r="48">
      <c r="A48" t="inlineStr">
        <is>
          <t>EV47</t>
        </is>
      </c>
      <c r="B48" t="inlineStr">
        <is>
          <t>E9</t>
        </is>
      </c>
      <c r="C48" t="inlineStr">
        <is>
          <t>Registro histórico de cambios curriculares.</t>
        </is>
      </c>
    </row>
    <row r="49">
      <c r="A49" t="inlineStr">
        <is>
          <t>EV48</t>
        </is>
      </c>
      <c r="B49" t="inlineStr">
        <is>
          <t>E9</t>
        </is>
      </c>
      <c r="C49" t="inlineStr">
        <is>
          <t>Informe y documentación de la supervisión de actividades lectivas y de las mejoras propuestas y ejecutadas.</t>
        </is>
      </c>
    </row>
    <row r="50">
      <c r="A50" t="inlineStr">
        <is>
          <t>EV49</t>
        </is>
      </c>
      <c r="B50" t="inlineStr">
        <is>
          <t>E10</t>
        </is>
      </c>
      <c r="C50" t="inlineStr">
        <is>
          <t>Documentos del diseño o implementación del SGC: manual de calidad, planes de implementación y resultados.</t>
        </is>
      </c>
    </row>
    <row r="51">
      <c r="A51" t="inlineStr">
        <is>
          <t>EV50</t>
        </is>
      </c>
      <c r="B51" t="inlineStr">
        <is>
          <t>E10</t>
        </is>
      </c>
      <c r="C51" t="inlineStr">
        <is>
          <t>Información sobre los procesos incluidos en el SGC.</t>
        </is>
      </c>
    </row>
    <row r="52">
      <c r="A52" t="inlineStr">
        <is>
          <t>EV51</t>
        </is>
      </c>
      <c r="B52" t="inlineStr">
        <is>
          <t>E10</t>
        </is>
      </c>
      <c r="C52" t="inlineStr">
        <is>
          <t>Registro histórico de cambios al SGC.</t>
        </is>
      </c>
    </row>
    <row r="53">
      <c r="A53" t="inlineStr">
        <is>
          <t>EV52</t>
        </is>
      </c>
      <c r="B53" t="inlineStr">
        <is>
          <t>E10</t>
        </is>
      </c>
      <c r="C53" t="inlineStr">
        <is>
          <t>Resultados de evaluación del funcionamiento del SGC y acciones de mejora propuestas e implementadas.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2026-10-20T22:46:35Z</dcterms:created>
  <dcterms:modified xmlns:dcterms="http://purl.org/dc/terms/" xmlns:xsi="http://www.w3.org/2001/XMLSchema-instance" xsi:type="dcterms:W3CDTF">2026-10-20T22:46:36Z</dcterms:modified>
</cp:coreProperties>
</file>